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더그림\더그림엔터테인먼트 Dropbox\01.재무팀\02. 더그림엔터테인먼트\09. 정산\2026\03. 네이버_광고수익\02. 국내광고(KR SERIES_AD)\"/>
    </mc:Choice>
  </mc:AlternateContent>
  <xr:revisionPtr revIDLastSave="0" documentId="13_ncr:1_{437D6258-D188-4D2B-ABBB-523DE15BDE14}" xr6:coauthVersionLast="47" xr6:coauthVersionMax="47" xr10:uidLastSave="{00000000-0000-0000-0000-000000000000}"/>
  <bookViews>
    <workbookView xWindow="21165" yWindow="-16320" windowWidth="29040" windowHeight="15720" xr2:uid="{00000000-000D-0000-FFFF-FFFF00000000}"/>
  </bookViews>
  <sheets>
    <sheet name="정산리포트" sheetId="1" r:id="rId1"/>
    <sheet name="소급적용 상세내역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1" l="1"/>
  <c r="I6" i="1"/>
  <c r="J7" i="1"/>
  <c r="I7" i="1"/>
  <c r="I10" i="1"/>
  <c r="J10" i="1" s="1"/>
  <c r="I11" i="1"/>
  <c r="J11" i="1" s="1"/>
  <c r="I12" i="1"/>
  <c r="J12" i="1" s="1"/>
  <c r="I13" i="1"/>
  <c r="J13" i="1" s="1"/>
  <c r="I14" i="1"/>
  <c r="J14" i="1"/>
  <c r="I15" i="1"/>
  <c r="J15" i="1"/>
  <c r="I16" i="1"/>
  <c r="J16" i="1"/>
  <c r="I17" i="1"/>
  <c r="J17" i="1"/>
  <c r="I18" i="1"/>
  <c r="J18" i="1" s="1"/>
  <c r="I19" i="1"/>
  <c r="J19" i="1" s="1"/>
  <c r="I20" i="1"/>
  <c r="J20" i="1" s="1"/>
  <c r="I21" i="1"/>
  <c r="J21" i="1" s="1"/>
  <c r="I22" i="1"/>
  <c r="J22" i="1"/>
  <c r="I23" i="1"/>
  <c r="J23" i="1"/>
  <c r="I24" i="1"/>
  <c r="J24" i="1"/>
  <c r="I25" i="1"/>
  <c r="J25" i="1"/>
  <c r="I26" i="1"/>
  <c r="J26" i="1" s="1"/>
  <c r="I27" i="1"/>
  <c r="J27" i="1" s="1"/>
  <c r="I28" i="1"/>
  <c r="J28" i="1" s="1"/>
  <c r="I29" i="1"/>
  <c r="J29" i="1" s="1"/>
  <c r="I30" i="1"/>
  <c r="J30" i="1"/>
  <c r="I31" i="1"/>
  <c r="J31" i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/>
  <c r="I39" i="1"/>
  <c r="J39" i="1"/>
  <c r="I40" i="1"/>
  <c r="J40" i="1"/>
  <c r="I41" i="1"/>
  <c r="J41" i="1"/>
  <c r="I42" i="1"/>
  <c r="J42" i="1" s="1"/>
  <c r="I43" i="1"/>
  <c r="J43" i="1" s="1"/>
  <c r="I44" i="1"/>
  <c r="J44" i="1" s="1"/>
  <c r="I45" i="1"/>
  <c r="J45" i="1" s="1"/>
  <c r="I46" i="1"/>
  <c r="J46" i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/>
  <c r="I55" i="1"/>
  <c r="J55" i="1"/>
  <c r="I56" i="1"/>
  <c r="J56" i="1" s="1"/>
  <c r="I57" i="1"/>
  <c r="J57" i="1" s="1"/>
  <c r="I58" i="1"/>
  <c r="J58" i="1" s="1"/>
  <c r="I59" i="1"/>
  <c r="J59" i="1" s="1"/>
  <c r="I60" i="1"/>
  <c r="J60" i="1" s="1"/>
  <c r="I61" i="1"/>
  <c r="J61" i="1" s="1"/>
  <c r="I62" i="1"/>
  <c r="J62" i="1"/>
  <c r="I63" i="1"/>
  <c r="J63" i="1" s="1"/>
  <c r="J9" i="1"/>
  <c r="I9" i="1"/>
</calcChain>
</file>

<file path=xl/sharedStrings.xml><?xml version="1.0" encoding="utf-8"?>
<sst xmlns="http://schemas.openxmlformats.org/spreadsheetml/2006/main" count="449" uniqueCount="164">
  <si>
    <t>KR AD</t>
  </si>
  <si>
    <t>계산서 발행월</t>
  </si>
  <si>
    <t>01/2026</t>
  </si>
  <si>
    <t>※ 세금계산서는 역발행으로 진행되며, 양사 협의되지 않은 상태에서 정발행을 진행하시면 이중청구되니 유의 부탁드립니다.
_x000D_	└ 역발행 시 전체 작품별 금액이 합산되어 발행되며, 품목명이 별도 기재되지 않으니 아래 정산리포트를 통해 확인 부탁 드립니다.</t>
  </si>
  <si>
    <t>정산 품목</t>
  </si>
  <si>
    <t>시리즈 광고수익분배</t>
  </si>
  <si>
    <t>거래처(또는 작가)명</t>
  </si>
  <si>
    <t>주식회사 더그림엔터테인먼트</t>
  </si>
  <si>
    <t>정산 금액 (KRW)</t>
  </si>
  <si>
    <t>이월 금액 (KRW)</t>
  </si>
  <si>
    <t>매출 발생월</t>
  </si>
  <si>
    <t>지급유형</t>
  </si>
  <si>
    <t>작품명</t>
  </si>
  <si>
    <t>CID</t>
  </si>
  <si>
    <t>CPID</t>
  </si>
  <si>
    <t>서비스 플랫폼</t>
  </si>
  <si>
    <t>통화 단위</t>
  </si>
  <si>
    <t>발생 수익</t>
  </si>
  <si>
    <t>202601</t>
  </si>
  <si>
    <t>시리즈 만화 광고수익</t>
  </si>
  <si>
    <t>외모지상주의</t>
  </si>
  <si>
    <t>227497</t>
  </si>
  <si>
    <t>CO0668</t>
  </si>
  <si>
    <t>NAVER SERIES/광고</t>
  </si>
  <si>
    <t>KRW</t>
  </si>
  <si>
    <t>한남동 케이하우스</t>
  </si>
  <si>
    <t>339802</t>
  </si>
  <si>
    <t>CO1225</t>
  </si>
  <si>
    <t>인생존망</t>
  </si>
  <si>
    <t>381194</t>
  </si>
  <si>
    <t>CO1593</t>
  </si>
  <si>
    <t>싸움독학</t>
  </si>
  <si>
    <t>381824</t>
  </si>
  <si>
    <t>CO1594</t>
  </si>
  <si>
    <t>욕망일기</t>
  </si>
  <si>
    <t>420618</t>
  </si>
  <si>
    <t>CO2144</t>
  </si>
  <si>
    <t>퀘스트지상주의</t>
  </si>
  <si>
    <t>449359</t>
  </si>
  <si>
    <t>김부장</t>
  </si>
  <si>
    <t>450111</t>
  </si>
  <si>
    <t>쇼미더럭키짱!</t>
  </si>
  <si>
    <t>450115</t>
  </si>
  <si>
    <t>CO2667</t>
  </si>
  <si>
    <t>존망코인</t>
  </si>
  <si>
    <t>450444</t>
  </si>
  <si>
    <t>여고생 드래곤</t>
  </si>
  <si>
    <t>452717</t>
  </si>
  <si>
    <t>매지컬 급식:암살법사</t>
  </si>
  <si>
    <t>461378</t>
  </si>
  <si>
    <t>사형소년</t>
  </si>
  <si>
    <t>470703</t>
  </si>
  <si>
    <t>간첩 18세</t>
  </si>
  <si>
    <t>481008</t>
  </si>
  <si>
    <t>궤짝</t>
  </si>
  <si>
    <t>488013</t>
  </si>
  <si>
    <t>보스였음</t>
  </si>
  <si>
    <t>488685</t>
  </si>
  <si>
    <t>백XX</t>
  </si>
  <si>
    <t>493508</t>
  </si>
  <si>
    <t>왕따가 격투기를 너무 잘함</t>
  </si>
  <si>
    <t>499170</t>
  </si>
  <si>
    <t>캐슬2:만인지상</t>
  </si>
  <si>
    <t>499884</t>
  </si>
  <si>
    <t>촉법소년</t>
  </si>
  <si>
    <t>503855</t>
  </si>
  <si>
    <t>유쾌한 왕따(재)</t>
  </si>
  <si>
    <t>512152</t>
  </si>
  <si>
    <t>얼짱시대</t>
  </si>
  <si>
    <t>518182</t>
  </si>
  <si>
    <t>이섭의 연애</t>
  </si>
  <si>
    <t>519253</t>
  </si>
  <si>
    <t>MT0201</t>
  </si>
  <si>
    <t>체탐자</t>
  </si>
  <si>
    <t>525286</t>
  </si>
  <si>
    <t>욕망일기Deep</t>
  </si>
  <si>
    <t>534844</t>
  </si>
  <si>
    <t>진주</t>
  </si>
  <si>
    <t>535549</t>
  </si>
  <si>
    <t>인생존망2</t>
  </si>
  <si>
    <t>545140</t>
  </si>
  <si>
    <t>VS</t>
  </si>
  <si>
    <t>547174</t>
  </si>
  <si>
    <t>먹뀌싸</t>
  </si>
  <si>
    <t>547783</t>
  </si>
  <si>
    <t>좋아? 죽어!</t>
  </si>
  <si>
    <t>549371</t>
  </si>
  <si>
    <t>룸비니</t>
  </si>
  <si>
    <t>553515</t>
  </si>
  <si>
    <t>배달왕</t>
  </si>
  <si>
    <t>561846</t>
  </si>
  <si>
    <t>소년법칙</t>
  </si>
  <si>
    <t>574030</t>
  </si>
  <si>
    <t>러브 인 바디</t>
  </si>
  <si>
    <t>575418</t>
  </si>
  <si>
    <t>왕관을 찾아줘</t>
  </si>
  <si>
    <t>577238</t>
  </si>
  <si>
    <t>건곤불이기</t>
  </si>
  <si>
    <t>579185</t>
  </si>
  <si>
    <t>구룡:사로카</t>
  </si>
  <si>
    <t>590132</t>
  </si>
  <si>
    <t>하이클래스</t>
  </si>
  <si>
    <t>590134</t>
  </si>
  <si>
    <t>밤의 방문자</t>
  </si>
  <si>
    <t>591459</t>
  </si>
  <si>
    <t>벤타블랙</t>
  </si>
  <si>
    <t>593379</t>
  </si>
  <si>
    <t>정의구현</t>
  </si>
  <si>
    <t>594698</t>
  </si>
  <si>
    <t>최악의 세대</t>
  </si>
  <si>
    <t>595746</t>
  </si>
  <si>
    <t>남제</t>
  </si>
  <si>
    <t>598352</t>
  </si>
  <si>
    <t>명왕</t>
  </si>
  <si>
    <t>601662</t>
  </si>
  <si>
    <t>냉동무사</t>
  </si>
  <si>
    <t>609850</t>
  </si>
  <si>
    <t>수트빨</t>
  </si>
  <si>
    <t>621605</t>
  </si>
  <si>
    <t>레벨999 고블린</t>
  </si>
  <si>
    <t>629975</t>
  </si>
  <si>
    <t>십이지소녀</t>
  </si>
  <si>
    <t>642001</t>
  </si>
  <si>
    <t>용사생활기록부</t>
  </si>
  <si>
    <t>642007</t>
  </si>
  <si>
    <t>태존비록</t>
  </si>
  <si>
    <t>645729</t>
  </si>
  <si>
    <t>악귀나찰</t>
  </si>
  <si>
    <t>656046</t>
  </si>
  <si>
    <t>오늘도 퇴근</t>
  </si>
  <si>
    <t>662616</t>
  </si>
  <si>
    <t>블러드레인 3</t>
  </si>
  <si>
    <t>678237</t>
  </si>
  <si>
    <t>CO5970</t>
  </si>
  <si>
    <t>공주님 학교 가신다</t>
  </si>
  <si>
    <t>678238</t>
  </si>
  <si>
    <t>CO5971</t>
  </si>
  <si>
    <t>로열패밀리</t>
  </si>
  <si>
    <t>679606</t>
  </si>
  <si>
    <t>CO5993</t>
  </si>
  <si>
    <t>오브차카</t>
  </si>
  <si>
    <t>681507</t>
  </si>
  <si>
    <t>CO6036</t>
  </si>
  <si>
    <t>금월 매출 합계 (A)</t>
  </si>
  <si>
    <t>전월까지 누적 금액 (B)</t>
  </si>
  <si>
    <t>소급분 (C)</t>
  </si>
  <si>
    <t>정산 금액 (A+B+C)</t>
  </si>
  <si>
    <t>이월 금액</t>
  </si>
  <si>
    <t>· 시리즈 광고 수익은 거래처 기준 5만원 이상의 금액이 누적될 시 지급되고 있습니다. (누적 금액 합산 5만원 미만일 시 이월 처리)</t>
  </si>
  <si>
    <t>· 이월금액은 지급 최소금액(5만원)에 도달하지 못할 경우 발생하며, 이월 금액이 존재하는 경우 정산은 진행되지 않고 지급 최소금액 도달 시까지 누적됩니다. (이월금액 0원 = 누적금액 없음)</t>
  </si>
  <si>
    <t>· 소급분은 월 정산 외 지급되는 비용으로 특수한 경우(금액누락, 정산오류 등)를 제외하고는 발생되지 않습니다</t>
  </si>
  <si>
    <t>· 위 금액(정산 금액)은 부가세 별도 금액(공급가액)이며, 실제 입금은 아래와 같이 적용됩니다.</t>
  </si>
  <si>
    <t xml:space="preserve">  ㄴ일반 개인 : 위 정산 금액에서 원천세 3.3% 제외한 금액으로 입금</t>
  </si>
  <si>
    <t xml:space="preserve">  ㄴ면세사업자 : 위 정산 금액과 동일한 금액으로 입금</t>
  </si>
  <si>
    <t xml:space="preserve">  ㄴ과세사업자 : 위 정산 금액에서 부가세 10% 더한 금액으로 입금</t>
  </si>
  <si>
    <t xml:space="preserve">  ㄴ해외거래처 : 위 정산 금액에서 거주지국 원천세율이 적용되어 세액 공제 후 입금</t>
  </si>
  <si>
    <t>· 정산 금액은 광고 관련 수수료 및 운영 비용 등을 제외한 금액입니다.</t>
  </si>
  <si>
    <t>· 통화단위가 잘못 적용된 경우 문의 접수 메일을 통해 수정 반영 요청 바랍니다.</t>
  </si>
  <si>
    <t>시리즈</t>
    <phoneticPr fontId="16" type="noConversion"/>
  </si>
  <si>
    <t>파트너명</t>
  </si>
  <si>
    <t>합계 : 파트너별 정산금</t>
  </si>
  <si>
    <t>총합계</t>
  </si>
  <si>
    <t>소급적용</t>
    <phoneticPr fontId="14" type="noConversion"/>
  </si>
  <si>
    <t>최종매출액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</si>
</sst>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21" x14ac:knownFonts="1">
    <font>
      <sz val="11"/>
      <color indexed="8"/>
      <name val="맑은 고딕"/>
      <family val="2"/>
      <scheme val="minor"/>
    </font>
    <font>
      <sz val="8.5"/>
      <name val="나눔고딕"/>
      <family val="3"/>
      <charset val="129"/>
    </font>
    <font>
      <sz val="8.5"/>
      <name val="나눔고딕"/>
      <family val="3"/>
      <charset val="129"/>
    </font>
    <font>
      <sz val="8.5"/>
      <name val="나눔고딕"/>
      <family val="3"/>
      <charset val="129"/>
    </font>
    <font>
      <i/>
      <sz val="8.5"/>
      <color indexed="10"/>
      <name val="나눔고딕"/>
      <family val="3"/>
      <charset val="129"/>
    </font>
    <font>
      <sz val="8.5"/>
      <name val="나눔고딕"/>
      <family val="3"/>
      <charset val="129"/>
    </font>
    <font>
      <sz val="8.5"/>
      <name val="나눔고딕"/>
      <family val="3"/>
      <charset val="129"/>
    </font>
    <font>
      <sz val="8.5"/>
      <name val="나눔고딕"/>
      <family val="3"/>
      <charset val="129"/>
    </font>
    <font>
      <sz val="8.5"/>
      <name val="나눔고딕"/>
      <family val="3"/>
      <charset val="129"/>
    </font>
    <font>
      <sz val="8.5"/>
      <name val="나눔고딕"/>
      <family val="3"/>
      <charset val="129"/>
    </font>
    <font>
      <sz val="8.5"/>
      <name val="나눔고딕"/>
      <family val="3"/>
      <charset val="129"/>
    </font>
    <font>
      <sz val="8.5"/>
      <name val="나눔고딕"/>
      <family val="3"/>
      <charset val="129"/>
    </font>
    <font>
      <sz val="8.5"/>
      <color indexed="55"/>
      <name val="나눔고딕"/>
      <family val="3"/>
      <charset val="129"/>
    </font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color theme="1"/>
      <name val="나눔고딕"/>
      <family val="3"/>
      <charset val="129"/>
    </font>
    <font>
      <sz val="8"/>
      <name val="나눔고딕"/>
      <family val="2"/>
      <charset val="129"/>
    </font>
    <font>
      <b/>
      <sz val="9"/>
      <color theme="1"/>
      <name val="나눔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8"/>
      <color indexed="8"/>
      <name val="맑은 고딕"/>
      <family val="2"/>
      <scheme val="minor"/>
    </font>
    <font>
      <sz val="8"/>
      <name val="나눔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rgb="FFE6E6E6"/>
      </patternFill>
    </fill>
    <fill>
      <patternFill patternType="solid">
        <fgColor indexed="2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41" fontId="13" fillId="0" borderId="0" applyFont="0" applyFill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2" fillId="0" borderId="1" xfId="0" applyFont="1" applyBorder="1">
      <alignment vertical="center"/>
    </xf>
    <xf numFmtId="3" fontId="3" fillId="0" borderId="1" xfId="0" applyNumberFormat="1" applyFont="1" applyBorder="1">
      <alignment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7" fillId="0" borderId="1" xfId="0" applyFont="1" applyBorder="1" applyAlignment="1">
      <alignment horizontal="center" vertical="center"/>
    </xf>
    <xf numFmtId="3" fontId="8" fillId="0" borderId="1" xfId="0" applyNumberFormat="1" applyFont="1" applyBorder="1">
      <alignment vertical="center"/>
    </xf>
    <xf numFmtId="0" fontId="10" fillId="0" borderId="1" xfId="0" applyFont="1" applyBorder="1" applyAlignment="1">
      <alignment horizontal="center" vertical="center"/>
    </xf>
    <xf numFmtId="3" fontId="11" fillId="0" borderId="1" xfId="0" applyNumberFormat="1" applyFont="1" applyBorder="1">
      <alignment vertical="center"/>
    </xf>
    <xf numFmtId="0" fontId="15" fillId="5" borderId="0" xfId="0" applyFont="1" applyFill="1">
      <alignment vertical="center"/>
    </xf>
    <xf numFmtId="0" fontId="17" fillId="5" borderId="0" xfId="0" applyFont="1" applyFill="1">
      <alignment vertical="center"/>
    </xf>
    <xf numFmtId="0" fontId="18" fillId="5" borderId="1" xfId="0" applyFont="1" applyFill="1" applyBorder="1">
      <alignment vertical="center"/>
    </xf>
    <xf numFmtId="0" fontId="0" fillId="0" borderId="1" xfId="0" applyBorder="1">
      <alignment vertical="center"/>
    </xf>
    <xf numFmtId="41" fontId="0" fillId="0" borderId="1" xfId="0" applyNumberFormat="1" applyBorder="1">
      <alignment vertical="center"/>
    </xf>
    <xf numFmtId="41" fontId="18" fillId="5" borderId="1" xfId="0" applyNumberFormat="1" applyFont="1" applyFill="1" applyBorder="1">
      <alignment vertical="center"/>
    </xf>
    <xf numFmtId="41" fontId="19" fillId="0" borderId="0" xfId="1" applyFont="1">
      <alignment vertical="center"/>
    </xf>
    <xf numFmtId="41" fontId="20" fillId="2" borderId="1" xfId="1" applyFont="1" applyFill="1" applyBorder="1" applyAlignment="1">
      <alignment horizontal="center" vertical="center"/>
    </xf>
    <xf numFmtId="0" fontId="12" fillId="0" borderId="0" xfId="0" applyFont="1">
      <alignment vertical="center"/>
    </xf>
    <xf numFmtId="0" fontId="12" fillId="3" borderId="0" xfId="0" applyFont="1" applyFill="1">
      <alignment vertical="center"/>
    </xf>
    <xf numFmtId="0" fontId="9" fillId="4" borderId="1" xfId="0" applyFont="1" applyFill="1" applyBorder="1" applyAlignment="1">
      <alignment horizontal="center" vertical="center"/>
    </xf>
    <xf numFmtId="0" fontId="4" fillId="3" borderId="0" xfId="0" applyFont="1" applyFill="1" applyAlignment="1">
      <alignment vertical="center" wrapText="1"/>
    </xf>
    <xf numFmtId="0" fontId="0" fillId="0" borderId="0" xfId="0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371475</xdr:colOff>
      <xdr:row>5</xdr:row>
      <xdr:rowOff>104774</xdr:rowOff>
    </xdr:from>
    <xdr:to>
      <xdr:col>18</xdr:col>
      <xdr:colOff>628650</xdr:colOff>
      <xdr:row>33</xdr:row>
      <xdr:rowOff>135333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EB179AD-0AB4-DADF-534F-B55D2504E5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68075" y="1057274"/>
          <a:ext cx="5743575" cy="536455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228600</xdr:colOff>
      <xdr:row>1</xdr:row>
      <xdr:rowOff>133349</xdr:rowOff>
    </xdr:from>
    <xdr:to>
      <xdr:col>14</xdr:col>
      <xdr:colOff>57150</xdr:colOff>
      <xdr:row>20</xdr:row>
      <xdr:rowOff>166407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44B649D-F59B-7F19-893E-1D22E21EAE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15050" y="352424"/>
          <a:ext cx="6686550" cy="41954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1"/>
  <sheetViews>
    <sheetView showGridLines="0" tabSelected="1" workbookViewId="0">
      <pane ySplit="8" topLeftCell="A9" activePane="bottomLeft" state="frozen"/>
      <selection pane="bottomLeft" activeCell="S18" sqref="S18"/>
    </sheetView>
  </sheetViews>
  <sheetFormatPr defaultRowHeight="16.899999999999999" x14ac:dyDescent="0.6"/>
  <cols>
    <col min="1" max="1" width="14" customWidth="1"/>
    <col min="2" max="2" width="21" customWidth="1"/>
    <col min="3" max="3" width="34" customWidth="1"/>
    <col min="4" max="5" width="9" customWidth="1"/>
    <col min="6" max="6" width="19" customWidth="1"/>
    <col min="7" max="7" width="9" customWidth="1"/>
    <col min="8" max="8" width="10" customWidth="1"/>
    <col min="9" max="10" width="9" style="16"/>
  </cols>
  <sheetData>
    <row r="1" spans="1:10" ht="15" customHeight="1" x14ac:dyDescent="0.6">
      <c r="A1" s="1" t="s">
        <v>0</v>
      </c>
    </row>
    <row r="2" spans="1:10" ht="15" customHeight="1" x14ac:dyDescent="0.6">
      <c r="A2" s="1" t="s">
        <v>1</v>
      </c>
      <c r="B2" s="2" t="s">
        <v>2</v>
      </c>
      <c r="C2" s="21" t="s">
        <v>3</v>
      </c>
      <c r="D2" s="21"/>
      <c r="E2" s="21"/>
      <c r="F2" s="21"/>
      <c r="G2" s="21"/>
      <c r="H2" s="21"/>
    </row>
    <row r="3" spans="1:10" ht="15" customHeight="1" x14ac:dyDescent="0.6">
      <c r="A3" s="1" t="s">
        <v>4</v>
      </c>
      <c r="B3" s="2" t="s">
        <v>5</v>
      </c>
      <c r="C3" s="22"/>
      <c r="D3" s="22"/>
      <c r="E3" s="22"/>
      <c r="F3" s="22"/>
      <c r="G3" s="22"/>
      <c r="H3" s="22"/>
    </row>
    <row r="4" spans="1:10" ht="15" customHeight="1" x14ac:dyDescent="0.6">
      <c r="A4" s="1" t="s">
        <v>6</v>
      </c>
      <c r="B4" s="2" t="s">
        <v>7</v>
      </c>
    </row>
    <row r="5" spans="1:10" ht="15" customHeight="1" x14ac:dyDescent="0.6">
      <c r="A5" s="1" t="s">
        <v>8</v>
      </c>
      <c r="B5" s="3">
        <v>311888</v>
      </c>
    </row>
    <row r="6" spans="1:10" ht="15" customHeight="1" x14ac:dyDescent="0.6">
      <c r="A6" s="1" t="s">
        <v>9</v>
      </c>
      <c r="B6" s="3">
        <v>0</v>
      </c>
      <c r="I6" s="16" t="b">
        <f>I7='소급적용 상세내역'!D22</f>
        <v>1</v>
      </c>
      <c r="J6" s="16" t="b">
        <f>I7+H64=J7</f>
        <v>1</v>
      </c>
    </row>
    <row r="7" spans="1:10" ht="15" customHeight="1" x14ac:dyDescent="0.6">
      <c r="I7" s="16">
        <f>SUM(I8:I63)</f>
        <v>145273</v>
      </c>
      <c r="J7" s="16">
        <f>SUM(J8:J63)</f>
        <v>311888</v>
      </c>
    </row>
    <row r="8" spans="1:10" ht="15" customHeight="1" x14ac:dyDescent="0.6">
      <c r="A8" s="4" t="s">
        <v>10</v>
      </c>
      <c r="B8" s="4" t="s">
        <v>11</v>
      </c>
      <c r="C8" s="4" t="s">
        <v>12</v>
      </c>
      <c r="D8" s="4" t="s">
        <v>13</v>
      </c>
      <c r="E8" s="4" t="s">
        <v>14</v>
      </c>
      <c r="F8" s="4" t="s">
        <v>15</v>
      </c>
      <c r="G8" s="4" t="s">
        <v>16</v>
      </c>
      <c r="H8" s="4" t="s">
        <v>17</v>
      </c>
      <c r="I8" s="17" t="s">
        <v>162</v>
      </c>
      <c r="J8" s="17" t="s">
        <v>163</v>
      </c>
    </row>
    <row r="9" spans="1:10" ht="15" customHeight="1" x14ac:dyDescent="0.6">
      <c r="A9" s="6" t="s">
        <v>18</v>
      </c>
      <c r="B9" s="6" t="s">
        <v>19</v>
      </c>
      <c r="C9" s="5" t="s">
        <v>20</v>
      </c>
      <c r="D9" s="6" t="s">
        <v>21</v>
      </c>
      <c r="E9" s="6" t="s">
        <v>22</v>
      </c>
      <c r="F9" s="6" t="s">
        <v>23</v>
      </c>
      <c r="G9" s="6" t="s">
        <v>24</v>
      </c>
      <c r="H9" s="7">
        <v>22255</v>
      </c>
      <c r="I9" s="16">
        <f>SUMIFS('소급적용 상세내역'!D:D,'소급적용 상세내역'!C:C,정산리포트!C9)</f>
        <v>0</v>
      </c>
      <c r="J9" s="16">
        <f>H9+I9</f>
        <v>22255</v>
      </c>
    </row>
    <row r="10" spans="1:10" ht="15" customHeight="1" x14ac:dyDescent="0.6">
      <c r="A10" s="6" t="s">
        <v>18</v>
      </c>
      <c r="B10" s="6" t="s">
        <v>19</v>
      </c>
      <c r="C10" s="5" t="s">
        <v>25</v>
      </c>
      <c r="D10" s="6" t="s">
        <v>26</v>
      </c>
      <c r="E10" s="6" t="s">
        <v>27</v>
      </c>
      <c r="F10" s="6" t="s">
        <v>23</v>
      </c>
      <c r="G10" s="6" t="s">
        <v>24</v>
      </c>
      <c r="H10" s="7">
        <v>9</v>
      </c>
      <c r="I10" s="16">
        <f>SUMIFS('소급적용 상세내역'!D:D,'소급적용 상세내역'!C:C,정산리포트!C10)</f>
        <v>118</v>
      </c>
      <c r="J10" s="16">
        <f t="shared" ref="J10:J63" si="0">H10+I10</f>
        <v>127</v>
      </c>
    </row>
    <row r="11" spans="1:10" ht="15" customHeight="1" x14ac:dyDescent="0.6">
      <c r="A11" s="6" t="s">
        <v>18</v>
      </c>
      <c r="B11" s="6" t="s">
        <v>19</v>
      </c>
      <c r="C11" s="5" t="s">
        <v>28</v>
      </c>
      <c r="D11" s="6" t="s">
        <v>29</v>
      </c>
      <c r="E11" s="6" t="s">
        <v>30</v>
      </c>
      <c r="F11" s="6" t="s">
        <v>23</v>
      </c>
      <c r="G11" s="6" t="s">
        <v>24</v>
      </c>
      <c r="H11" s="7">
        <v>528</v>
      </c>
      <c r="I11" s="16">
        <f>SUMIFS('소급적용 상세내역'!D:D,'소급적용 상세내역'!C:C,정산리포트!C11)</f>
        <v>1853</v>
      </c>
      <c r="J11" s="16">
        <f t="shared" si="0"/>
        <v>2381</v>
      </c>
    </row>
    <row r="12" spans="1:10" ht="15" customHeight="1" x14ac:dyDescent="0.6">
      <c r="A12" s="6" t="s">
        <v>18</v>
      </c>
      <c r="B12" s="6" t="s">
        <v>19</v>
      </c>
      <c r="C12" s="5" t="s">
        <v>31</v>
      </c>
      <c r="D12" s="6" t="s">
        <v>32</v>
      </c>
      <c r="E12" s="6" t="s">
        <v>33</v>
      </c>
      <c r="F12" s="6" t="s">
        <v>23</v>
      </c>
      <c r="G12" s="6" t="s">
        <v>24</v>
      </c>
      <c r="H12" s="7">
        <v>1829</v>
      </c>
      <c r="I12" s="16">
        <f>SUMIFS('소급적용 상세내역'!D:D,'소급적용 상세내역'!C:C,정산리포트!C12)</f>
        <v>23870</v>
      </c>
      <c r="J12" s="16">
        <f t="shared" si="0"/>
        <v>25699</v>
      </c>
    </row>
    <row r="13" spans="1:10" ht="15" customHeight="1" x14ac:dyDescent="0.6">
      <c r="A13" s="6" t="s">
        <v>18</v>
      </c>
      <c r="B13" s="6" t="s">
        <v>19</v>
      </c>
      <c r="C13" s="5" t="s">
        <v>34</v>
      </c>
      <c r="D13" s="6" t="s">
        <v>35</v>
      </c>
      <c r="E13" s="6" t="s">
        <v>36</v>
      </c>
      <c r="F13" s="6" t="s">
        <v>23</v>
      </c>
      <c r="G13" s="6" t="s">
        <v>24</v>
      </c>
      <c r="H13" s="7">
        <v>3</v>
      </c>
      <c r="I13" s="16">
        <f>SUMIFS('소급적용 상세내역'!D:D,'소급적용 상세내역'!C:C,정산리포트!C13)</f>
        <v>323</v>
      </c>
      <c r="J13" s="16">
        <f t="shared" si="0"/>
        <v>326</v>
      </c>
    </row>
    <row r="14" spans="1:10" ht="15" customHeight="1" x14ac:dyDescent="0.6">
      <c r="A14" s="6" t="s">
        <v>18</v>
      </c>
      <c r="B14" s="6" t="s">
        <v>19</v>
      </c>
      <c r="C14" s="5" t="s">
        <v>37</v>
      </c>
      <c r="D14" s="6" t="s">
        <v>38</v>
      </c>
      <c r="E14" s="6" t="s">
        <v>36</v>
      </c>
      <c r="F14" s="6" t="s">
        <v>23</v>
      </c>
      <c r="G14" s="6" t="s">
        <v>24</v>
      </c>
      <c r="H14" s="7">
        <v>1278</v>
      </c>
      <c r="I14" s="16">
        <f>SUMIFS('소급적용 상세내역'!D:D,'소급적용 상세내역'!C:C,정산리포트!C14)</f>
        <v>1398</v>
      </c>
      <c r="J14" s="16">
        <f t="shared" si="0"/>
        <v>2676</v>
      </c>
    </row>
    <row r="15" spans="1:10" ht="15" customHeight="1" x14ac:dyDescent="0.6">
      <c r="A15" s="6" t="s">
        <v>18</v>
      </c>
      <c r="B15" s="6" t="s">
        <v>19</v>
      </c>
      <c r="C15" s="5" t="s">
        <v>39</v>
      </c>
      <c r="D15" s="6" t="s">
        <v>40</v>
      </c>
      <c r="E15" s="6" t="s">
        <v>36</v>
      </c>
      <c r="F15" s="6" t="s">
        <v>23</v>
      </c>
      <c r="G15" s="6" t="s">
        <v>24</v>
      </c>
      <c r="H15" s="7">
        <v>13715</v>
      </c>
      <c r="I15" s="16">
        <f>SUMIFS('소급적용 상세내역'!D:D,'소급적용 상세내역'!C:C,정산리포트!C15)</f>
        <v>0</v>
      </c>
      <c r="J15" s="16">
        <f t="shared" si="0"/>
        <v>13715</v>
      </c>
    </row>
    <row r="16" spans="1:10" ht="15" customHeight="1" x14ac:dyDescent="0.6">
      <c r="A16" s="6" t="s">
        <v>18</v>
      </c>
      <c r="B16" s="6" t="s">
        <v>19</v>
      </c>
      <c r="C16" s="5" t="s">
        <v>41</v>
      </c>
      <c r="D16" s="6" t="s">
        <v>42</v>
      </c>
      <c r="E16" s="6" t="s">
        <v>43</v>
      </c>
      <c r="F16" s="6" t="s">
        <v>23</v>
      </c>
      <c r="G16" s="6" t="s">
        <v>24</v>
      </c>
      <c r="H16" s="7">
        <v>29</v>
      </c>
      <c r="I16" s="16">
        <f>SUMIFS('소급적용 상세내역'!D:D,'소급적용 상세내역'!C:C,정산리포트!C16)</f>
        <v>351</v>
      </c>
      <c r="J16" s="16">
        <f t="shared" si="0"/>
        <v>380</v>
      </c>
    </row>
    <row r="17" spans="1:10" ht="15" customHeight="1" x14ac:dyDescent="0.6">
      <c r="A17" s="6" t="s">
        <v>18</v>
      </c>
      <c r="B17" s="6" t="s">
        <v>19</v>
      </c>
      <c r="C17" s="5" t="s">
        <v>44</v>
      </c>
      <c r="D17" s="6" t="s">
        <v>45</v>
      </c>
      <c r="E17" s="6" t="s">
        <v>36</v>
      </c>
      <c r="F17" s="6" t="s">
        <v>23</v>
      </c>
      <c r="G17" s="6" t="s">
        <v>24</v>
      </c>
      <c r="H17" s="7">
        <v>2</v>
      </c>
      <c r="I17" s="16">
        <f>SUMIFS('소급적용 상세내역'!D:D,'소급적용 상세내역'!C:C,정산리포트!C17)</f>
        <v>334</v>
      </c>
      <c r="J17" s="16">
        <f t="shared" si="0"/>
        <v>336</v>
      </c>
    </row>
    <row r="18" spans="1:10" ht="15" customHeight="1" x14ac:dyDescent="0.6">
      <c r="A18" s="6" t="s">
        <v>18</v>
      </c>
      <c r="B18" s="6" t="s">
        <v>19</v>
      </c>
      <c r="C18" s="5" t="s">
        <v>46</v>
      </c>
      <c r="D18" s="6" t="s">
        <v>47</v>
      </c>
      <c r="E18" s="6" t="s">
        <v>36</v>
      </c>
      <c r="F18" s="6" t="s">
        <v>23</v>
      </c>
      <c r="G18" s="6" t="s">
        <v>24</v>
      </c>
      <c r="H18" s="7">
        <v>211</v>
      </c>
      <c r="I18" s="16">
        <f>SUMIFS('소급적용 상세내역'!D:D,'소급적용 상세내역'!C:C,정산리포트!C18)</f>
        <v>2140</v>
      </c>
      <c r="J18" s="16">
        <f t="shared" si="0"/>
        <v>2351</v>
      </c>
    </row>
    <row r="19" spans="1:10" ht="15" customHeight="1" x14ac:dyDescent="0.6">
      <c r="A19" s="6" t="s">
        <v>18</v>
      </c>
      <c r="B19" s="6" t="s">
        <v>19</v>
      </c>
      <c r="C19" s="5" t="s">
        <v>48</v>
      </c>
      <c r="D19" s="6" t="s">
        <v>49</v>
      </c>
      <c r="E19" s="6" t="s">
        <v>36</v>
      </c>
      <c r="F19" s="6" t="s">
        <v>23</v>
      </c>
      <c r="G19" s="6" t="s">
        <v>24</v>
      </c>
      <c r="H19" s="7">
        <v>46</v>
      </c>
      <c r="I19" s="16">
        <f>SUMIFS('소급적용 상세내역'!D:D,'소급적용 상세내역'!C:C,정산리포트!C19)</f>
        <v>0</v>
      </c>
      <c r="J19" s="16">
        <f t="shared" si="0"/>
        <v>46</v>
      </c>
    </row>
    <row r="20" spans="1:10" ht="15" customHeight="1" x14ac:dyDescent="0.6">
      <c r="A20" s="6" t="s">
        <v>18</v>
      </c>
      <c r="B20" s="6" t="s">
        <v>19</v>
      </c>
      <c r="C20" s="5" t="s">
        <v>50</v>
      </c>
      <c r="D20" s="6" t="s">
        <v>51</v>
      </c>
      <c r="E20" s="6" t="s">
        <v>36</v>
      </c>
      <c r="F20" s="6" t="s">
        <v>23</v>
      </c>
      <c r="G20" s="6" t="s">
        <v>24</v>
      </c>
      <c r="H20" s="7">
        <v>112</v>
      </c>
      <c r="I20" s="16">
        <f>SUMIFS('소급적용 상세내역'!D:D,'소급적용 상세내역'!C:C,정산리포트!C20)</f>
        <v>1079</v>
      </c>
      <c r="J20" s="16">
        <f t="shared" si="0"/>
        <v>1191</v>
      </c>
    </row>
    <row r="21" spans="1:10" ht="15" customHeight="1" x14ac:dyDescent="0.6">
      <c r="A21" s="6" t="s">
        <v>18</v>
      </c>
      <c r="B21" s="6" t="s">
        <v>19</v>
      </c>
      <c r="C21" s="5" t="s">
        <v>52</v>
      </c>
      <c r="D21" s="6" t="s">
        <v>53</v>
      </c>
      <c r="E21" s="6" t="s">
        <v>36</v>
      </c>
      <c r="F21" s="6" t="s">
        <v>23</v>
      </c>
      <c r="G21" s="6" t="s">
        <v>24</v>
      </c>
      <c r="H21" s="7">
        <v>8</v>
      </c>
      <c r="I21" s="16">
        <f>SUMIFS('소급적용 상세내역'!D:D,'소급적용 상세내역'!C:C,정산리포트!C21)</f>
        <v>1363</v>
      </c>
      <c r="J21" s="16">
        <f t="shared" si="0"/>
        <v>1371</v>
      </c>
    </row>
    <row r="22" spans="1:10" ht="15" customHeight="1" x14ac:dyDescent="0.6">
      <c r="A22" s="6" t="s">
        <v>18</v>
      </c>
      <c r="B22" s="6" t="s">
        <v>19</v>
      </c>
      <c r="C22" s="5" t="s">
        <v>54</v>
      </c>
      <c r="D22" s="6" t="s">
        <v>55</v>
      </c>
      <c r="E22" s="6" t="s">
        <v>36</v>
      </c>
      <c r="F22" s="6" t="s">
        <v>23</v>
      </c>
      <c r="G22" s="6" t="s">
        <v>24</v>
      </c>
      <c r="H22" s="7">
        <v>135</v>
      </c>
      <c r="I22" s="16">
        <f>SUMIFS('소급적용 상세내역'!D:D,'소급적용 상세내역'!C:C,정산리포트!C22)</f>
        <v>0</v>
      </c>
      <c r="J22" s="16">
        <f t="shared" si="0"/>
        <v>135</v>
      </c>
    </row>
    <row r="23" spans="1:10" ht="15" customHeight="1" x14ac:dyDescent="0.6">
      <c r="A23" s="6" t="s">
        <v>18</v>
      </c>
      <c r="B23" s="6" t="s">
        <v>19</v>
      </c>
      <c r="C23" s="5" t="s">
        <v>56</v>
      </c>
      <c r="D23" s="6" t="s">
        <v>57</v>
      </c>
      <c r="E23" s="6" t="s">
        <v>36</v>
      </c>
      <c r="F23" s="6" t="s">
        <v>23</v>
      </c>
      <c r="G23" s="6" t="s">
        <v>24</v>
      </c>
      <c r="H23" s="7">
        <v>314</v>
      </c>
      <c r="I23" s="16">
        <f>SUMIFS('소급적용 상세내역'!D:D,'소급적용 상세내역'!C:C,정산리포트!C23)</f>
        <v>0</v>
      </c>
      <c r="J23" s="16">
        <f t="shared" si="0"/>
        <v>314</v>
      </c>
    </row>
    <row r="24" spans="1:10" ht="15" customHeight="1" x14ac:dyDescent="0.6">
      <c r="A24" s="6" t="s">
        <v>18</v>
      </c>
      <c r="B24" s="6" t="s">
        <v>19</v>
      </c>
      <c r="C24" s="5" t="s">
        <v>58</v>
      </c>
      <c r="D24" s="6" t="s">
        <v>59</v>
      </c>
      <c r="E24" s="6" t="s">
        <v>36</v>
      </c>
      <c r="F24" s="6" t="s">
        <v>23</v>
      </c>
      <c r="G24" s="6" t="s">
        <v>24</v>
      </c>
      <c r="H24" s="7">
        <v>5562</v>
      </c>
      <c r="I24" s="16">
        <f>SUMIFS('소급적용 상세내역'!D:D,'소급적용 상세내역'!C:C,정산리포트!C24)</f>
        <v>0</v>
      </c>
      <c r="J24" s="16">
        <f t="shared" si="0"/>
        <v>5562</v>
      </c>
    </row>
    <row r="25" spans="1:10" ht="15" customHeight="1" x14ac:dyDescent="0.6">
      <c r="A25" s="6" t="s">
        <v>18</v>
      </c>
      <c r="B25" s="6" t="s">
        <v>19</v>
      </c>
      <c r="C25" s="5" t="s">
        <v>60</v>
      </c>
      <c r="D25" s="6" t="s">
        <v>61</v>
      </c>
      <c r="E25" s="6" t="s">
        <v>36</v>
      </c>
      <c r="F25" s="6" t="s">
        <v>23</v>
      </c>
      <c r="G25" s="6" t="s">
        <v>24</v>
      </c>
      <c r="H25" s="7">
        <v>6486</v>
      </c>
      <c r="I25" s="16">
        <f>SUMIFS('소급적용 상세내역'!D:D,'소급적용 상세내역'!C:C,정산리포트!C25)</f>
        <v>0</v>
      </c>
      <c r="J25" s="16">
        <f t="shared" si="0"/>
        <v>6486</v>
      </c>
    </row>
    <row r="26" spans="1:10" ht="15" customHeight="1" x14ac:dyDescent="0.6">
      <c r="A26" s="6" t="s">
        <v>18</v>
      </c>
      <c r="B26" s="6" t="s">
        <v>19</v>
      </c>
      <c r="C26" s="5" t="s">
        <v>62</v>
      </c>
      <c r="D26" s="6" t="s">
        <v>63</v>
      </c>
      <c r="E26" s="6" t="s">
        <v>36</v>
      </c>
      <c r="F26" s="6" t="s">
        <v>23</v>
      </c>
      <c r="G26" s="6" t="s">
        <v>24</v>
      </c>
      <c r="H26" s="7">
        <v>14328</v>
      </c>
      <c r="I26" s="16">
        <f>SUMIFS('소급적용 상세내역'!D:D,'소급적용 상세내역'!C:C,정산리포트!C26)</f>
        <v>0</v>
      </c>
      <c r="J26" s="16">
        <f t="shared" si="0"/>
        <v>14328</v>
      </c>
    </row>
    <row r="27" spans="1:10" ht="15" customHeight="1" x14ac:dyDescent="0.6">
      <c r="A27" s="6" t="s">
        <v>18</v>
      </c>
      <c r="B27" s="6" t="s">
        <v>19</v>
      </c>
      <c r="C27" s="5" t="s">
        <v>64</v>
      </c>
      <c r="D27" s="6" t="s">
        <v>65</v>
      </c>
      <c r="E27" s="6" t="s">
        <v>36</v>
      </c>
      <c r="F27" s="6" t="s">
        <v>23</v>
      </c>
      <c r="G27" s="6" t="s">
        <v>24</v>
      </c>
      <c r="H27" s="7">
        <v>466</v>
      </c>
      <c r="I27" s="16">
        <f>SUMIFS('소급적용 상세내역'!D:D,'소급적용 상세내역'!C:C,정산리포트!C27)</f>
        <v>2328</v>
      </c>
      <c r="J27" s="16">
        <f t="shared" si="0"/>
        <v>2794</v>
      </c>
    </row>
    <row r="28" spans="1:10" ht="15" customHeight="1" x14ac:dyDescent="0.6">
      <c r="A28" s="6" t="s">
        <v>18</v>
      </c>
      <c r="B28" s="6" t="s">
        <v>19</v>
      </c>
      <c r="C28" s="5" t="s">
        <v>66</v>
      </c>
      <c r="D28" s="6" t="s">
        <v>67</v>
      </c>
      <c r="E28" s="6" t="s">
        <v>36</v>
      </c>
      <c r="F28" s="6" t="s">
        <v>23</v>
      </c>
      <c r="G28" s="6" t="s">
        <v>24</v>
      </c>
      <c r="H28" s="7">
        <v>7</v>
      </c>
      <c r="I28" s="16">
        <f>SUMIFS('소급적용 상세내역'!D:D,'소급적용 상세내역'!C:C,정산리포트!C28)</f>
        <v>61</v>
      </c>
      <c r="J28" s="16">
        <f t="shared" si="0"/>
        <v>68</v>
      </c>
    </row>
    <row r="29" spans="1:10" ht="15" customHeight="1" x14ac:dyDescent="0.6">
      <c r="A29" s="6" t="s">
        <v>18</v>
      </c>
      <c r="B29" s="6" t="s">
        <v>19</v>
      </c>
      <c r="C29" s="5" t="s">
        <v>68</v>
      </c>
      <c r="D29" s="6" t="s">
        <v>69</v>
      </c>
      <c r="E29" s="6" t="s">
        <v>36</v>
      </c>
      <c r="F29" s="6" t="s">
        <v>23</v>
      </c>
      <c r="G29" s="6" t="s">
        <v>24</v>
      </c>
      <c r="H29" s="7">
        <v>93</v>
      </c>
      <c r="I29" s="16">
        <f>SUMIFS('소급적용 상세내역'!D:D,'소급적용 상세내역'!C:C,정산리포트!C29)</f>
        <v>244</v>
      </c>
      <c r="J29" s="16">
        <f t="shared" si="0"/>
        <v>337</v>
      </c>
    </row>
    <row r="30" spans="1:10" ht="15" customHeight="1" x14ac:dyDescent="0.6">
      <c r="A30" s="6" t="s">
        <v>18</v>
      </c>
      <c r="B30" s="6" t="s">
        <v>19</v>
      </c>
      <c r="C30" s="5" t="s">
        <v>70</v>
      </c>
      <c r="D30" s="6" t="s">
        <v>71</v>
      </c>
      <c r="E30" s="6" t="s">
        <v>72</v>
      </c>
      <c r="F30" s="6" t="s">
        <v>23</v>
      </c>
      <c r="G30" s="6" t="s">
        <v>24</v>
      </c>
      <c r="H30" s="7">
        <v>60454</v>
      </c>
      <c r="I30" s="16">
        <f>SUMIFS('소급적용 상세내역'!D:D,'소급적용 상세내역'!C:C,정산리포트!C30)</f>
        <v>0</v>
      </c>
      <c r="J30" s="16">
        <f t="shared" si="0"/>
        <v>60454</v>
      </c>
    </row>
    <row r="31" spans="1:10" ht="15" customHeight="1" x14ac:dyDescent="0.6">
      <c r="A31" s="6" t="s">
        <v>18</v>
      </c>
      <c r="B31" s="6" t="s">
        <v>19</v>
      </c>
      <c r="C31" s="5" t="s">
        <v>73</v>
      </c>
      <c r="D31" s="6" t="s">
        <v>74</v>
      </c>
      <c r="E31" s="6" t="s">
        <v>36</v>
      </c>
      <c r="F31" s="6" t="s">
        <v>23</v>
      </c>
      <c r="G31" s="6" t="s">
        <v>24</v>
      </c>
      <c r="H31" s="7">
        <v>886</v>
      </c>
      <c r="I31" s="16">
        <f>SUMIFS('소급적용 상세내역'!D:D,'소급적용 상세내역'!C:C,정산리포트!C31)</f>
        <v>0</v>
      </c>
      <c r="J31" s="16">
        <f t="shared" si="0"/>
        <v>886</v>
      </c>
    </row>
    <row r="32" spans="1:10" ht="15" customHeight="1" x14ac:dyDescent="0.6">
      <c r="A32" s="6" t="s">
        <v>18</v>
      </c>
      <c r="B32" s="6" t="s">
        <v>19</v>
      </c>
      <c r="C32" s="5" t="s">
        <v>75</v>
      </c>
      <c r="D32" s="6" t="s">
        <v>76</v>
      </c>
      <c r="E32" s="6" t="s">
        <v>36</v>
      </c>
      <c r="F32" s="6" t="s">
        <v>23</v>
      </c>
      <c r="G32" s="6" t="s">
        <v>24</v>
      </c>
      <c r="H32" s="7">
        <v>2</v>
      </c>
      <c r="I32" s="16">
        <f>SUMIFS('소급적용 상세내역'!D:D,'소급적용 상세내역'!C:C,정산리포트!C32)</f>
        <v>0</v>
      </c>
      <c r="J32" s="16">
        <f t="shared" si="0"/>
        <v>2</v>
      </c>
    </row>
    <row r="33" spans="1:10" ht="15" customHeight="1" x14ac:dyDescent="0.6">
      <c r="A33" s="6" t="s">
        <v>18</v>
      </c>
      <c r="B33" s="6" t="s">
        <v>19</v>
      </c>
      <c r="C33" s="5" t="s">
        <v>77</v>
      </c>
      <c r="D33" s="6" t="s">
        <v>78</v>
      </c>
      <c r="E33" s="6" t="s">
        <v>36</v>
      </c>
      <c r="F33" s="6" t="s">
        <v>23</v>
      </c>
      <c r="G33" s="6" t="s">
        <v>24</v>
      </c>
      <c r="H33" s="7">
        <v>1432</v>
      </c>
      <c r="I33" s="16">
        <f>SUMIFS('소급적용 상세내역'!D:D,'소급적용 상세내역'!C:C,정산리포트!C33)</f>
        <v>605</v>
      </c>
      <c r="J33" s="16">
        <f t="shared" si="0"/>
        <v>2037</v>
      </c>
    </row>
    <row r="34" spans="1:10" ht="15" customHeight="1" x14ac:dyDescent="0.6">
      <c r="A34" s="6" t="s">
        <v>18</v>
      </c>
      <c r="B34" s="6" t="s">
        <v>19</v>
      </c>
      <c r="C34" s="5" t="s">
        <v>79</v>
      </c>
      <c r="D34" s="6" t="s">
        <v>80</v>
      </c>
      <c r="E34" s="6" t="s">
        <v>36</v>
      </c>
      <c r="F34" s="6" t="s">
        <v>23</v>
      </c>
      <c r="G34" s="6" t="s">
        <v>24</v>
      </c>
      <c r="H34" s="7">
        <v>48</v>
      </c>
      <c r="I34" s="16">
        <f>SUMIFS('소급적용 상세내역'!D:D,'소급적용 상세내역'!C:C,정산리포트!C34)</f>
        <v>230</v>
      </c>
      <c r="J34" s="16">
        <f t="shared" si="0"/>
        <v>278</v>
      </c>
    </row>
    <row r="35" spans="1:10" ht="15" customHeight="1" x14ac:dyDescent="0.6">
      <c r="A35" s="6" t="s">
        <v>18</v>
      </c>
      <c r="B35" s="6" t="s">
        <v>19</v>
      </c>
      <c r="C35" s="5" t="s">
        <v>81</v>
      </c>
      <c r="D35" s="6" t="s">
        <v>82</v>
      </c>
      <c r="E35" s="6" t="s">
        <v>36</v>
      </c>
      <c r="F35" s="6" t="s">
        <v>23</v>
      </c>
      <c r="G35" s="6" t="s">
        <v>24</v>
      </c>
      <c r="H35" s="7">
        <v>119</v>
      </c>
      <c r="I35" s="16">
        <f>SUMIFS('소급적용 상세내역'!D:D,'소급적용 상세내역'!C:C,정산리포트!C35)</f>
        <v>0</v>
      </c>
      <c r="J35" s="16">
        <f t="shared" si="0"/>
        <v>119</v>
      </c>
    </row>
    <row r="36" spans="1:10" ht="15" customHeight="1" x14ac:dyDescent="0.6">
      <c r="A36" s="6" t="s">
        <v>18</v>
      </c>
      <c r="B36" s="6" t="s">
        <v>19</v>
      </c>
      <c r="C36" s="5" t="s">
        <v>83</v>
      </c>
      <c r="D36" s="6" t="s">
        <v>84</v>
      </c>
      <c r="E36" s="6" t="s">
        <v>36</v>
      </c>
      <c r="F36" s="6" t="s">
        <v>23</v>
      </c>
      <c r="G36" s="6" t="s">
        <v>24</v>
      </c>
      <c r="H36" s="7">
        <v>42</v>
      </c>
      <c r="I36" s="16">
        <f>SUMIFS('소급적용 상세내역'!D:D,'소급적용 상세내역'!C:C,정산리포트!C36)</f>
        <v>0</v>
      </c>
      <c r="J36" s="16">
        <f t="shared" si="0"/>
        <v>42</v>
      </c>
    </row>
    <row r="37" spans="1:10" ht="15" customHeight="1" x14ac:dyDescent="0.6">
      <c r="A37" s="6" t="s">
        <v>18</v>
      </c>
      <c r="B37" s="6" t="s">
        <v>19</v>
      </c>
      <c r="C37" s="5" t="s">
        <v>85</v>
      </c>
      <c r="D37" s="6" t="s">
        <v>86</v>
      </c>
      <c r="E37" s="6" t="s">
        <v>36</v>
      </c>
      <c r="F37" s="6" t="s">
        <v>23</v>
      </c>
      <c r="G37" s="6" t="s">
        <v>24</v>
      </c>
      <c r="H37" s="7">
        <v>56</v>
      </c>
      <c r="I37" s="16">
        <f>SUMIFS('소급적용 상세내역'!D:D,'소급적용 상세내역'!C:C,정산리포트!C37)</f>
        <v>12</v>
      </c>
      <c r="J37" s="16">
        <f t="shared" si="0"/>
        <v>68</v>
      </c>
    </row>
    <row r="38" spans="1:10" ht="15" customHeight="1" x14ac:dyDescent="0.6">
      <c r="A38" s="6" t="s">
        <v>18</v>
      </c>
      <c r="B38" s="6" t="s">
        <v>19</v>
      </c>
      <c r="C38" s="5" t="s">
        <v>87</v>
      </c>
      <c r="D38" s="6" t="s">
        <v>88</v>
      </c>
      <c r="E38" s="6" t="s">
        <v>36</v>
      </c>
      <c r="F38" s="6" t="s">
        <v>23</v>
      </c>
      <c r="G38" s="6" t="s">
        <v>24</v>
      </c>
      <c r="H38" s="7">
        <v>0</v>
      </c>
      <c r="I38" s="16">
        <f>SUMIFS('소급적용 상세내역'!D:D,'소급적용 상세내역'!C:C,정산리포트!C38)</f>
        <v>0</v>
      </c>
      <c r="J38" s="16">
        <f t="shared" si="0"/>
        <v>0</v>
      </c>
    </row>
    <row r="39" spans="1:10" ht="15" customHeight="1" x14ac:dyDescent="0.6">
      <c r="A39" s="6" t="s">
        <v>18</v>
      </c>
      <c r="B39" s="6" t="s">
        <v>19</v>
      </c>
      <c r="C39" s="5" t="s">
        <v>89</v>
      </c>
      <c r="D39" s="6" t="s">
        <v>90</v>
      </c>
      <c r="E39" s="6" t="s">
        <v>36</v>
      </c>
      <c r="F39" s="6" t="s">
        <v>23</v>
      </c>
      <c r="G39" s="6" t="s">
        <v>24</v>
      </c>
      <c r="H39" s="7">
        <v>1</v>
      </c>
      <c r="I39" s="16">
        <f>SUMIFS('소급적용 상세내역'!D:D,'소급적용 상세내역'!C:C,정산리포트!C39)</f>
        <v>0</v>
      </c>
      <c r="J39" s="16">
        <f t="shared" si="0"/>
        <v>1</v>
      </c>
    </row>
    <row r="40" spans="1:10" ht="15" customHeight="1" x14ac:dyDescent="0.6">
      <c r="A40" s="6" t="s">
        <v>18</v>
      </c>
      <c r="B40" s="6" t="s">
        <v>19</v>
      </c>
      <c r="C40" s="5" t="s">
        <v>91</v>
      </c>
      <c r="D40" s="6" t="s">
        <v>92</v>
      </c>
      <c r="E40" s="6" t="s">
        <v>36</v>
      </c>
      <c r="F40" s="6" t="s">
        <v>23</v>
      </c>
      <c r="G40" s="6" t="s">
        <v>24</v>
      </c>
      <c r="H40" s="7">
        <v>410</v>
      </c>
      <c r="I40" s="16">
        <f>SUMIFS('소급적용 상세내역'!D:D,'소급적용 상세내역'!C:C,정산리포트!C40)</f>
        <v>0</v>
      </c>
      <c r="J40" s="16">
        <f t="shared" si="0"/>
        <v>410</v>
      </c>
    </row>
    <row r="41" spans="1:10" ht="15" customHeight="1" x14ac:dyDescent="0.6">
      <c r="A41" s="6" t="s">
        <v>18</v>
      </c>
      <c r="B41" s="6" t="s">
        <v>19</v>
      </c>
      <c r="C41" s="5" t="s">
        <v>93</v>
      </c>
      <c r="D41" s="6" t="s">
        <v>94</v>
      </c>
      <c r="E41" s="6" t="s">
        <v>36</v>
      </c>
      <c r="F41" s="6" t="s">
        <v>23</v>
      </c>
      <c r="G41" s="6" t="s">
        <v>24</v>
      </c>
      <c r="H41" s="7">
        <v>20</v>
      </c>
      <c r="I41" s="16">
        <f>SUMIFS('소급적용 상세내역'!D:D,'소급적용 상세내역'!C:C,정산리포트!C41)</f>
        <v>694</v>
      </c>
      <c r="J41" s="16">
        <f t="shared" si="0"/>
        <v>714</v>
      </c>
    </row>
    <row r="42" spans="1:10" ht="15" customHeight="1" x14ac:dyDescent="0.6">
      <c r="A42" s="6" t="s">
        <v>18</v>
      </c>
      <c r="B42" s="6" t="s">
        <v>19</v>
      </c>
      <c r="C42" s="5" t="s">
        <v>95</v>
      </c>
      <c r="D42" s="6" t="s">
        <v>96</v>
      </c>
      <c r="E42" s="6" t="s">
        <v>36</v>
      </c>
      <c r="F42" s="6" t="s">
        <v>23</v>
      </c>
      <c r="G42" s="6" t="s">
        <v>24</v>
      </c>
      <c r="H42" s="7">
        <v>2</v>
      </c>
      <c r="I42" s="16">
        <f>SUMIFS('소급적용 상세내역'!D:D,'소급적용 상세내역'!C:C,정산리포트!C42)</f>
        <v>0</v>
      </c>
      <c r="J42" s="16">
        <f t="shared" si="0"/>
        <v>2</v>
      </c>
    </row>
    <row r="43" spans="1:10" ht="15" customHeight="1" x14ac:dyDescent="0.6">
      <c r="A43" s="6" t="s">
        <v>18</v>
      </c>
      <c r="B43" s="6" t="s">
        <v>19</v>
      </c>
      <c r="C43" s="5" t="s">
        <v>97</v>
      </c>
      <c r="D43" s="6" t="s">
        <v>98</v>
      </c>
      <c r="E43" s="6" t="s">
        <v>36</v>
      </c>
      <c r="F43" s="6" t="s">
        <v>23</v>
      </c>
      <c r="G43" s="6" t="s">
        <v>24</v>
      </c>
      <c r="H43" s="7">
        <v>1086</v>
      </c>
      <c r="I43" s="16">
        <f>SUMIFS('소급적용 상세내역'!D:D,'소급적용 상세내역'!C:C,정산리포트!C43)</f>
        <v>0</v>
      </c>
      <c r="J43" s="16">
        <f t="shared" si="0"/>
        <v>1086</v>
      </c>
    </row>
    <row r="44" spans="1:10" ht="15" customHeight="1" x14ac:dyDescent="0.6">
      <c r="A44" s="6" t="s">
        <v>18</v>
      </c>
      <c r="B44" s="6" t="s">
        <v>19</v>
      </c>
      <c r="C44" s="5" t="s">
        <v>99</v>
      </c>
      <c r="D44" s="6" t="s">
        <v>100</v>
      </c>
      <c r="E44" s="6" t="s">
        <v>36</v>
      </c>
      <c r="F44" s="6" t="s">
        <v>23</v>
      </c>
      <c r="G44" s="6" t="s">
        <v>24</v>
      </c>
      <c r="H44" s="7">
        <v>2130</v>
      </c>
      <c r="I44" s="16">
        <f>SUMIFS('소급적용 상세내역'!D:D,'소급적용 상세내역'!C:C,정산리포트!C44)</f>
        <v>0</v>
      </c>
      <c r="J44" s="16">
        <f t="shared" si="0"/>
        <v>2130</v>
      </c>
    </row>
    <row r="45" spans="1:10" ht="15" customHeight="1" x14ac:dyDescent="0.6">
      <c r="A45" s="6" t="s">
        <v>18</v>
      </c>
      <c r="B45" s="6" t="s">
        <v>19</v>
      </c>
      <c r="C45" s="5" t="s">
        <v>101</v>
      </c>
      <c r="D45" s="6" t="s">
        <v>102</v>
      </c>
      <c r="E45" s="6" t="s">
        <v>36</v>
      </c>
      <c r="F45" s="6" t="s">
        <v>23</v>
      </c>
      <c r="G45" s="6" t="s">
        <v>24</v>
      </c>
      <c r="H45" s="7">
        <v>41</v>
      </c>
      <c r="I45" s="16">
        <f>SUMIFS('소급적용 상세내역'!D:D,'소급적용 상세내역'!C:C,정산리포트!C45)</f>
        <v>0</v>
      </c>
      <c r="J45" s="16">
        <f t="shared" si="0"/>
        <v>41</v>
      </c>
    </row>
    <row r="46" spans="1:10" ht="15" customHeight="1" x14ac:dyDescent="0.6">
      <c r="A46" s="6" t="s">
        <v>18</v>
      </c>
      <c r="B46" s="6" t="s">
        <v>19</v>
      </c>
      <c r="C46" s="5" t="s">
        <v>103</v>
      </c>
      <c r="D46" s="6" t="s">
        <v>104</v>
      </c>
      <c r="E46" s="6" t="s">
        <v>36</v>
      </c>
      <c r="F46" s="6" t="s">
        <v>23</v>
      </c>
      <c r="G46" s="6" t="s">
        <v>24</v>
      </c>
      <c r="H46" s="7">
        <v>7207</v>
      </c>
      <c r="I46" s="16">
        <f>SUMIFS('소급적용 상세내역'!D:D,'소급적용 상세내역'!C:C,정산리포트!C46)</f>
        <v>108270</v>
      </c>
      <c r="J46" s="16">
        <f t="shared" si="0"/>
        <v>115477</v>
      </c>
    </row>
    <row r="47" spans="1:10" ht="15" customHeight="1" x14ac:dyDescent="0.6">
      <c r="A47" s="6" t="s">
        <v>18</v>
      </c>
      <c r="B47" s="6" t="s">
        <v>19</v>
      </c>
      <c r="C47" s="5" t="s">
        <v>105</v>
      </c>
      <c r="D47" s="6" t="s">
        <v>106</v>
      </c>
      <c r="E47" s="6" t="s">
        <v>36</v>
      </c>
      <c r="F47" s="6" t="s">
        <v>23</v>
      </c>
      <c r="G47" s="6" t="s">
        <v>24</v>
      </c>
      <c r="H47" s="7">
        <v>73</v>
      </c>
      <c r="I47" s="16">
        <f>SUMIFS('소급적용 상세내역'!D:D,'소급적용 상세내역'!C:C,정산리포트!C47)</f>
        <v>0</v>
      </c>
      <c r="J47" s="16">
        <f t="shared" si="0"/>
        <v>73</v>
      </c>
    </row>
    <row r="48" spans="1:10" ht="15" customHeight="1" x14ac:dyDescent="0.6">
      <c r="A48" s="6" t="s">
        <v>18</v>
      </c>
      <c r="B48" s="6" t="s">
        <v>19</v>
      </c>
      <c r="C48" s="5" t="s">
        <v>107</v>
      </c>
      <c r="D48" s="6" t="s">
        <v>108</v>
      </c>
      <c r="E48" s="6" t="s">
        <v>36</v>
      </c>
      <c r="F48" s="6" t="s">
        <v>23</v>
      </c>
      <c r="G48" s="6" t="s">
        <v>24</v>
      </c>
      <c r="H48" s="7">
        <v>1130</v>
      </c>
      <c r="I48" s="16">
        <f>SUMIFS('소급적용 상세내역'!D:D,'소급적용 상세내역'!C:C,정산리포트!C48)</f>
        <v>0</v>
      </c>
      <c r="J48" s="16">
        <f t="shared" si="0"/>
        <v>1130</v>
      </c>
    </row>
    <row r="49" spans="1:10" ht="15" customHeight="1" x14ac:dyDescent="0.6">
      <c r="A49" s="6" t="s">
        <v>18</v>
      </c>
      <c r="B49" s="6" t="s">
        <v>19</v>
      </c>
      <c r="C49" s="5" t="s">
        <v>109</v>
      </c>
      <c r="D49" s="6" t="s">
        <v>110</v>
      </c>
      <c r="E49" s="6" t="s">
        <v>36</v>
      </c>
      <c r="F49" s="6" t="s">
        <v>23</v>
      </c>
      <c r="G49" s="6" t="s">
        <v>24</v>
      </c>
      <c r="H49" s="7">
        <v>804</v>
      </c>
      <c r="I49" s="16">
        <f>SUMIFS('소급적용 상세내역'!D:D,'소급적용 상세내역'!C:C,정산리포트!C49)</f>
        <v>0</v>
      </c>
      <c r="J49" s="16">
        <f t="shared" si="0"/>
        <v>804</v>
      </c>
    </row>
    <row r="50" spans="1:10" ht="15" customHeight="1" x14ac:dyDescent="0.6">
      <c r="A50" s="6" t="s">
        <v>18</v>
      </c>
      <c r="B50" s="6" t="s">
        <v>19</v>
      </c>
      <c r="C50" s="5" t="s">
        <v>111</v>
      </c>
      <c r="D50" s="6" t="s">
        <v>112</v>
      </c>
      <c r="E50" s="6" t="s">
        <v>36</v>
      </c>
      <c r="F50" s="6" t="s">
        <v>23</v>
      </c>
      <c r="G50" s="6" t="s">
        <v>24</v>
      </c>
      <c r="H50" s="7">
        <v>58</v>
      </c>
      <c r="I50" s="16">
        <f>SUMIFS('소급적용 상세내역'!D:D,'소급적용 상세내역'!C:C,정산리포트!C50)</f>
        <v>0</v>
      </c>
      <c r="J50" s="16">
        <f t="shared" si="0"/>
        <v>58</v>
      </c>
    </row>
    <row r="51" spans="1:10" ht="15" customHeight="1" x14ac:dyDescent="0.6">
      <c r="A51" s="6" t="s">
        <v>18</v>
      </c>
      <c r="B51" s="6" t="s">
        <v>19</v>
      </c>
      <c r="C51" s="5" t="s">
        <v>113</v>
      </c>
      <c r="D51" s="6" t="s">
        <v>114</v>
      </c>
      <c r="E51" s="6" t="s">
        <v>36</v>
      </c>
      <c r="F51" s="6" t="s">
        <v>23</v>
      </c>
      <c r="G51" s="6" t="s">
        <v>24</v>
      </c>
      <c r="H51" s="7">
        <v>55</v>
      </c>
      <c r="I51" s="16">
        <f>SUMIFS('소급적용 상세내역'!D:D,'소급적용 상세내역'!C:C,정산리포트!C51)</f>
        <v>0</v>
      </c>
      <c r="J51" s="16">
        <f t="shared" si="0"/>
        <v>55</v>
      </c>
    </row>
    <row r="52" spans="1:10" ht="15" customHeight="1" x14ac:dyDescent="0.6">
      <c r="A52" s="6" t="s">
        <v>18</v>
      </c>
      <c r="B52" s="6" t="s">
        <v>19</v>
      </c>
      <c r="C52" s="5" t="s">
        <v>115</v>
      </c>
      <c r="D52" s="6" t="s">
        <v>116</v>
      </c>
      <c r="E52" s="6" t="s">
        <v>36</v>
      </c>
      <c r="F52" s="6" t="s">
        <v>23</v>
      </c>
      <c r="G52" s="6" t="s">
        <v>24</v>
      </c>
      <c r="H52" s="7">
        <v>1102</v>
      </c>
      <c r="I52" s="16">
        <f>SUMIFS('소급적용 상세내역'!D:D,'소급적용 상세내역'!C:C,정산리포트!C52)</f>
        <v>0</v>
      </c>
      <c r="J52" s="16">
        <f t="shared" si="0"/>
        <v>1102</v>
      </c>
    </row>
    <row r="53" spans="1:10" ht="15" customHeight="1" x14ac:dyDescent="0.6">
      <c r="A53" s="6" t="s">
        <v>18</v>
      </c>
      <c r="B53" s="6" t="s">
        <v>19</v>
      </c>
      <c r="C53" s="5" t="s">
        <v>117</v>
      </c>
      <c r="D53" s="6" t="s">
        <v>118</v>
      </c>
      <c r="E53" s="6" t="s">
        <v>36</v>
      </c>
      <c r="F53" s="6" t="s">
        <v>23</v>
      </c>
      <c r="G53" s="6" t="s">
        <v>24</v>
      </c>
      <c r="H53" s="7">
        <v>752</v>
      </c>
      <c r="I53" s="16">
        <f>SUMIFS('소급적용 상세내역'!D:D,'소급적용 상세내역'!C:C,정산리포트!C53)</f>
        <v>0</v>
      </c>
      <c r="J53" s="16">
        <f t="shared" si="0"/>
        <v>752</v>
      </c>
    </row>
    <row r="54" spans="1:10" ht="15" customHeight="1" x14ac:dyDescent="0.6">
      <c r="A54" s="6" t="s">
        <v>18</v>
      </c>
      <c r="B54" s="6" t="s">
        <v>19</v>
      </c>
      <c r="C54" s="5" t="s">
        <v>119</v>
      </c>
      <c r="D54" s="6" t="s">
        <v>120</v>
      </c>
      <c r="E54" s="6" t="s">
        <v>36</v>
      </c>
      <c r="F54" s="6" t="s">
        <v>23</v>
      </c>
      <c r="G54" s="6" t="s">
        <v>24</v>
      </c>
      <c r="H54" s="7">
        <v>671</v>
      </c>
      <c r="I54" s="16">
        <f>SUMIFS('소급적용 상세내역'!D:D,'소급적용 상세내역'!C:C,정산리포트!C54)</f>
        <v>0</v>
      </c>
      <c r="J54" s="16">
        <f t="shared" si="0"/>
        <v>671</v>
      </c>
    </row>
    <row r="55" spans="1:10" ht="15" customHeight="1" x14ac:dyDescent="0.6">
      <c r="A55" s="6" t="s">
        <v>18</v>
      </c>
      <c r="B55" s="6" t="s">
        <v>19</v>
      </c>
      <c r="C55" s="5" t="s">
        <v>121</v>
      </c>
      <c r="D55" s="6" t="s">
        <v>122</v>
      </c>
      <c r="E55" s="6" t="s">
        <v>36</v>
      </c>
      <c r="F55" s="6" t="s">
        <v>23</v>
      </c>
      <c r="G55" s="6" t="s">
        <v>24</v>
      </c>
      <c r="H55" s="7">
        <v>395</v>
      </c>
      <c r="I55" s="16">
        <f>SUMIFS('소급적용 상세내역'!D:D,'소급적용 상세내역'!C:C,정산리포트!C55)</f>
        <v>0</v>
      </c>
      <c r="J55" s="16">
        <f t="shared" si="0"/>
        <v>395</v>
      </c>
    </row>
    <row r="56" spans="1:10" ht="15" customHeight="1" x14ac:dyDescent="0.6">
      <c r="A56" s="6" t="s">
        <v>18</v>
      </c>
      <c r="B56" s="6" t="s">
        <v>19</v>
      </c>
      <c r="C56" s="5" t="s">
        <v>123</v>
      </c>
      <c r="D56" s="6" t="s">
        <v>124</v>
      </c>
      <c r="E56" s="6" t="s">
        <v>36</v>
      </c>
      <c r="F56" s="6" t="s">
        <v>23</v>
      </c>
      <c r="G56" s="6" t="s">
        <v>24</v>
      </c>
      <c r="H56" s="7">
        <v>520</v>
      </c>
      <c r="I56" s="16">
        <f>SUMIFS('소급적용 상세내역'!D:D,'소급적용 상세내역'!C:C,정산리포트!C56)</f>
        <v>0</v>
      </c>
      <c r="J56" s="16">
        <f t="shared" si="0"/>
        <v>520</v>
      </c>
    </row>
    <row r="57" spans="1:10" ht="15" customHeight="1" x14ac:dyDescent="0.6">
      <c r="A57" s="6" t="s">
        <v>18</v>
      </c>
      <c r="B57" s="6" t="s">
        <v>19</v>
      </c>
      <c r="C57" s="5" t="s">
        <v>125</v>
      </c>
      <c r="D57" s="6" t="s">
        <v>126</v>
      </c>
      <c r="E57" s="6" t="s">
        <v>36</v>
      </c>
      <c r="F57" s="6" t="s">
        <v>23</v>
      </c>
      <c r="G57" s="6" t="s">
        <v>24</v>
      </c>
      <c r="H57" s="7">
        <v>3352</v>
      </c>
      <c r="I57" s="16">
        <f>SUMIFS('소급적용 상세내역'!D:D,'소급적용 상세내역'!C:C,정산리포트!C57)</f>
        <v>0</v>
      </c>
      <c r="J57" s="16">
        <f t="shared" si="0"/>
        <v>3352</v>
      </c>
    </row>
    <row r="58" spans="1:10" ht="15" customHeight="1" x14ac:dyDescent="0.6">
      <c r="A58" s="6" t="s">
        <v>18</v>
      </c>
      <c r="B58" s="6" t="s">
        <v>19</v>
      </c>
      <c r="C58" s="5" t="s">
        <v>127</v>
      </c>
      <c r="D58" s="6" t="s">
        <v>128</v>
      </c>
      <c r="E58" s="6" t="s">
        <v>36</v>
      </c>
      <c r="F58" s="6" t="s">
        <v>23</v>
      </c>
      <c r="G58" s="6" t="s">
        <v>24</v>
      </c>
      <c r="H58" s="7">
        <v>238</v>
      </c>
      <c r="I58" s="16">
        <f>SUMIFS('소급적용 상세내역'!D:D,'소급적용 상세내역'!C:C,정산리포트!C58)</f>
        <v>0</v>
      </c>
      <c r="J58" s="16">
        <f t="shared" si="0"/>
        <v>238</v>
      </c>
    </row>
    <row r="59" spans="1:10" ht="15" customHeight="1" x14ac:dyDescent="0.6">
      <c r="A59" s="6" t="s">
        <v>18</v>
      </c>
      <c r="B59" s="6" t="s">
        <v>19</v>
      </c>
      <c r="C59" s="5" t="s">
        <v>129</v>
      </c>
      <c r="D59" s="6" t="s">
        <v>130</v>
      </c>
      <c r="E59" s="6" t="s">
        <v>36</v>
      </c>
      <c r="F59" s="6" t="s">
        <v>23</v>
      </c>
      <c r="G59" s="6" t="s">
        <v>24</v>
      </c>
      <c r="H59" s="7">
        <v>3204</v>
      </c>
      <c r="I59" s="16">
        <f>SUMIFS('소급적용 상세내역'!D:D,'소급적용 상세내역'!C:C,정산리포트!C59)</f>
        <v>0</v>
      </c>
      <c r="J59" s="16">
        <f t="shared" si="0"/>
        <v>3204</v>
      </c>
    </row>
    <row r="60" spans="1:10" ht="15" customHeight="1" x14ac:dyDescent="0.6">
      <c r="A60" s="6" t="s">
        <v>18</v>
      </c>
      <c r="B60" s="6" t="s">
        <v>19</v>
      </c>
      <c r="C60" s="5" t="s">
        <v>131</v>
      </c>
      <c r="D60" s="6" t="s">
        <v>132</v>
      </c>
      <c r="E60" s="6" t="s">
        <v>133</v>
      </c>
      <c r="F60" s="6" t="s">
        <v>23</v>
      </c>
      <c r="G60" s="6" t="s">
        <v>24</v>
      </c>
      <c r="H60" s="7">
        <v>11962</v>
      </c>
      <c r="I60" s="16">
        <f>SUMIFS('소급적용 상세내역'!D:D,'소급적용 상세내역'!C:C,정산리포트!C60)</f>
        <v>0</v>
      </c>
      <c r="J60" s="16">
        <f t="shared" si="0"/>
        <v>11962</v>
      </c>
    </row>
    <row r="61" spans="1:10" ht="15" customHeight="1" x14ac:dyDescent="0.6">
      <c r="A61" s="6" t="s">
        <v>18</v>
      </c>
      <c r="B61" s="6" t="s">
        <v>19</v>
      </c>
      <c r="C61" s="5" t="s">
        <v>134</v>
      </c>
      <c r="D61" s="6" t="s">
        <v>135</v>
      </c>
      <c r="E61" s="6" t="s">
        <v>136</v>
      </c>
      <c r="F61" s="6" t="s">
        <v>23</v>
      </c>
      <c r="G61" s="6" t="s">
        <v>24</v>
      </c>
      <c r="H61" s="7">
        <v>419</v>
      </c>
      <c r="I61" s="16">
        <f>SUMIFS('소급적용 상세내역'!D:D,'소급적용 상세내역'!C:C,정산리포트!C61)</f>
        <v>0</v>
      </c>
      <c r="J61" s="16">
        <f t="shared" si="0"/>
        <v>419</v>
      </c>
    </row>
    <row r="62" spans="1:10" ht="15" customHeight="1" x14ac:dyDescent="0.6">
      <c r="A62" s="6" t="s">
        <v>18</v>
      </c>
      <c r="B62" s="6" t="s">
        <v>19</v>
      </c>
      <c r="C62" s="5" t="s">
        <v>137</v>
      </c>
      <c r="D62" s="6" t="s">
        <v>138</v>
      </c>
      <c r="E62" s="6" t="s">
        <v>139</v>
      </c>
      <c r="F62" s="6" t="s">
        <v>23</v>
      </c>
      <c r="G62" s="6" t="s">
        <v>24</v>
      </c>
      <c r="H62" s="7">
        <v>480</v>
      </c>
      <c r="I62" s="16">
        <f>SUMIFS('소급적용 상세내역'!D:D,'소급적용 상세내역'!C:C,정산리포트!C62)</f>
        <v>0</v>
      </c>
      <c r="J62" s="16">
        <f t="shared" si="0"/>
        <v>480</v>
      </c>
    </row>
    <row r="63" spans="1:10" ht="15" customHeight="1" x14ac:dyDescent="0.6">
      <c r="A63" s="6" t="s">
        <v>18</v>
      </c>
      <c r="B63" s="6" t="s">
        <v>19</v>
      </c>
      <c r="C63" s="5" t="s">
        <v>140</v>
      </c>
      <c r="D63" s="6" t="s">
        <v>141</v>
      </c>
      <c r="E63" s="6" t="s">
        <v>142</v>
      </c>
      <c r="F63" s="6" t="s">
        <v>23</v>
      </c>
      <c r="G63" s="6" t="s">
        <v>24</v>
      </c>
      <c r="H63" s="7">
        <v>48</v>
      </c>
      <c r="I63" s="16">
        <f>SUMIFS('소급적용 상세내역'!D:D,'소급적용 상세내역'!C:C,정산리포트!C63)</f>
        <v>0</v>
      </c>
      <c r="J63" s="16">
        <f t="shared" si="0"/>
        <v>48</v>
      </c>
    </row>
    <row r="64" spans="1:10" ht="15" customHeight="1" x14ac:dyDescent="0.6">
      <c r="C64" s="20" t="s">
        <v>143</v>
      </c>
      <c r="D64" s="20"/>
      <c r="E64" s="20"/>
      <c r="F64" s="20"/>
      <c r="G64" s="8" t="s">
        <v>24</v>
      </c>
      <c r="H64" s="9">
        <v>166615</v>
      </c>
    </row>
    <row r="65" spans="1:8" ht="15" customHeight="1" x14ac:dyDescent="0.6">
      <c r="C65" s="20" t="s">
        <v>144</v>
      </c>
      <c r="D65" s="20"/>
      <c r="E65" s="20"/>
      <c r="F65" s="20"/>
      <c r="G65" s="8" t="s">
        <v>24</v>
      </c>
      <c r="H65" s="9">
        <v>0</v>
      </c>
    </row>
    <row r="66" spans="1:8" ht="15" customHeight="1" x14ac:dyDescent="0.6">
      <c r="C66" s="20" t="s">
        <v>145</v>
      </c>
      <c r="D66" s="20"/>
      <c r="E66" s="20"/>
      <c r="F66" s="20"/>
      <c r="G66" s="8" t="s">
        <v>24</v>
      </c>
      <c r="H66" s="9">
        <v>145273</v>
      </c>
    </row>
    <row r="67" spans="1:8" ht="15" customHeight="1" x14ac:dyDescent="0.6">
      <c r="C67" s="20" t="s">
        <v>146</v>
      </c>
      <c r="D67" s="20"/>
      <c r="E67" s="20"/>
      <c r="F67" s="20"/>
      <c r="G67" s="8" t="s">
        <v>24</v>
      </c>
      <c r="H67" s="9">
        <v>311888</v>
      </c>
    </row>
    <row r="68" spans="1:8" ht="15" customHeight="1" x14ac:dyDescent="0.6"/>
    <row r="69" spans="1:8" ht="15" customHeight="1" x14ac:dyDescent="0.6">
      <c r="C69" s="20" t="s">
        <v>147</v>
      </c>
      <c r="D69" s="20"/>
      <c r="E69" s="20"/>
      <c r="F69" s="20"/>
      <c r="G69" s="8" t="s">
        <v>24</v>
      </c>
      <c r="H69" s="9">
        <v>0</v>
      </c>
    </row>
    <row r="70" spans="1:8" ht="15" customHeight="1" x14ac:dyDescent="0.6"/>
    <row r="72" spans="1:8" ht="15" customHeight="1" x14ac:dyDescent="0.6">
      <c r="A72" s="18" t="s">
        <v>148</v>
      </c>
      <c r="B72" s="18"/>
      <c r="C72" s="18"/>
      <c r="D72" s="18"/>
      <c r="E72" s="18"/>
      <c r="F72" s="18"/>
      <c r="G72" s="18"/>
      <c r="H72" s="18"/>
    </row>
    <row r="73" spans="1:8" ht="15" customHeight="1" x14ac:dyDescent="0.6">
      <c r="A73" s="18" t="s">
        <v>149</v>
      </c>
      <c r="B73" s="18"/>
      <c r="C73" s="18"/>
      <c r="D73" s="18"/>
      <c r="E73" s="18"/>
      <c r="F73" s="18"/>
      <c r="G73" s="18"/>
      <c r="H73" s="18"/>
    </row>
    <row r="74" spans="1:8" ht="15" customHeight="1" x14ac:dyDescent="0.6">
      <c r="A74" s="18" t="s">
        <v>150</v>
      </c>
      <c r="B74" s="18"/>
      <c r="C74" s="18"/>
      <c r="D74" s="18"/>
      <c r="E74" s="18"/>
      <c r="F74" s="18"/>
      <c r="G74" s="18"/>
      <c r="H74" s="18"/>
    </row>
    <row r="75" spans="1:8" ht="15" customHeight="1" x14ac:dyDescent="0.6">
      <c r="A75" s="18" t="s">
        <v>151</v>
      </c>
      <c r="B75" s="18"/>
      <c r="C75" s="18"/>
      <c r="D75" s="18"/>
      <c r="E75" s="18"/>
      <c r="F75" s="18"/>
      <c r="G75" s="18"/>
      <c r="H75" s="18"/>
    </row>
    <row r="76" spans="1:8" ht="15" customHeight="1" x14ac:dyDescent="0.6">
      <c r="A76" s="19" t="s">
        <v>152</v>
      </c>
      <c r="B76" s="19"/>
      <c r="C76" s="19"/>
      <c r="D76" s="19"/>
      <c r="E76" s="19"/>
      <c r="F76" s="19"/>
      <c r="G76" s="19"/>
      <c r="H76" s="19"/>
    </row>
    <row r="77" spans="1:8" ht="15" customHeight="1" x14ac:dyDescent="0.6">
      <c r="A77" s="19" t="s">
        <v>153</v>
      </c>
      <c r="B77" s="19"/>
      <c r="C77" s="19"/>
      <c r="D77" s="19"/>
      <c r="E77" s="19"/>
      <c r="F77" s="19"/>
      <c r="G77" s="19"/>
      <c r="H77" s="19"/>
    </row>
    <row r="78" spans="1:8" ht="15" customHeight="1" x14ac:dyDescent="0.6">
      <c r="A78" s="19" t="s">
        <v>154</v>
      </c>
      <c r="B78" s="19"/>
      <c r="C78" s="19"/>
      <c r="D78" s="19"/>
      <c r="E78" s="19"/>
      <c r="F78" s="19"/>
      <c r="G78" s="19"/>
      <c r="H78" s="19"/>
    </row>
    <row r="79" spans="1:8" ht="15" customHeight="1" x14ac:dyDescent="0.6">
      <c r="A79" s="19" t="s">
        <v>155</v>
      </c>
      <c r="B79" s="19"/>
      <c r="C79" s="19"/>
      <c r="D79" s="19"/>
      <c r="E79" s="19"/>
      <c r="F79" s="19"/>
      <c r="G79" s="19"/>
      <c r="H79" s="19"/>
    </row>
    <row r="80" spans="1:8" ht="15" customHeight="1" x14ac:dyDescent="0.6">
      <c r="A80" s="18" t="s">
        <v>156</v>
      </c>
      <c r="B80" s="18"/>
      <c r="C80" s="18"/>
      <c r="D80" s="18"/>
      <c r="E80" s="18"/>
      <c r="F80" s="18"/>
      <c r="G80" s="18"/>
      <c r="H80" s="18"/>
    </row>
    <row r="81" spans="1:8" ht="15" customHeight="1" x14ac:dyDescent="0.6">
      <c r="A81" s="18" t="s">
        <v>157</v>
      </c>
      <c r="B81" s="18"/>
      <c r="C81" s="18"/>
      <c r="D81" s="18"/>
      <c r="E81" s="18"/>
      <c r="F81" s="18"/>
      <c r="G81" s="18"/>
      <c r="H81" s="18"/>
    </row>
  </sheetData>
  <mergeCells count="16">
    <mergeCell ref="C2:H3"/>
    <mergeCell ref="C64:F64"/>
    <mergeCell ref="C65:F65"/>
    <mergeCell ref="C66:F66"/>
    <mergeCell ref="C67:F67"/>
    <mergeCell ref="C69:F69"/>
    <mergeCell ref="A72:H72"/>
    <mergeCell ref="A73:H73"/>
    <mergeCell ref="A74:H74"/>
    <mergeCell ref="A75:H75"/>
    <mergeCell ref="A81:H81"/>
    <mergeCell ref="A76:H76"/>
    <mergeCell ref="A77:H77"/>
    <mergeCell ref="A78:H78"/>
    <mergeCell ref="A79:H79"/>
    <mergeCell ref="A80:H80"/>
  </mergeCells>
  <phoneticPr fontId="14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2AC5C-5C71-4419-8874-590E0F81C30D}">
  <dimension ref="B2:D22"/>
  <sheetViews>
    <sheetView workbookViewId="0">
      <selection activeCell="G26" sqref="G26"/>
    </sheetView>
  </sheetViews>
  <sheetFormatPr defaultRowHeight="16.899999999999999" x14ac:dyDescent="0.6"/>
  <cols>
    <col min="2" max="2" width="28.1875" bestFit="1" customWidth="1"/>
    <col min="3" max="3" width="17.8125" bestFit="1" customWidth="1"/>
    <col min="4" max="4" width="22.0625" bestFit="1" customWidth="1"/>
  </cols>
  <sheetData>
    <row r="2" spans="2:4" x14ac:dyDescent="0.6">
      <c r="B2" s="10" t="s">
        <v>158</v>
      </c>
      <c r="C2" s="11"/>
      <c r="D2" s="11"/>
    </row>
    <row r="3" spans="2:4" x14ac:dyDescent="0.6">
      <c r="B3" s="12" t="s">
        <v>159</v>
      </c>
      <c r="C3" s="12" t="s">
        <v>12</v>
      </c>
      <c r="D3" s="12" t="s">
        <v>160</v>
      </c>
    </row>
    <row r="4" spans="2:4" x14ac:dyDescent="0.6">
      <c r="B4" s="13" t="s">
        <v>7</v>
      </c>
      <c r="C4" s="13" t="s">
        <v>52</v>
      </c>
      <c r="D4" s="14">
        <v>1363</v>
      </c>
    </row>
    <row r="5" spans="2:4" x14ac:dyDescent="0.6">
      <c r="B5" s="13"/>
      <c r="C5" s="13" t="s">
        <v>93</v>
      </c>
      <c r="D5" s="14">
        <v>694</v>
      </c>
    </row>
    <row r="6" spans="2:4" x14ac:dyDescent="0.6">
      <c r="B6" s="13"/>
      <c r="C6" s="13" t="s">
        <v>103</v>
      </c>
      <c r="D6" s="14">
        <v>108270</v>
      </c>
    </row>
    <row r="7" spans="2:4" x14ac:dyDescent="0.6">
      <c r="B7" s="13"/>
      <c r="C7" s="13" t="s">
        <v>50</v>
      </c>
      <c r="D7" s="14">
        <v>1079</v>
      </c>
    </row>
    <row r="8" spans="2:4" x14ac:dyDescent="0.6">
      <c r="B8" s="13"/>
      <c r="C8" s="13" t="s">
        <v>41</v>
      </c>
      <c r="D8" s="14">
        <v>351</v>
      </c>
    </row>
    <row r="9" spans="2:4" x14ac:dyDescent="0.6">
      <c r="B9" s="13"/>
      <c r="C9" s="13" t="s">
        <v>31</v>
      </c>
      <c r="D9" s="14">
        <v>23870</v>
      </c>
    </row>
    <row r="10" spans="2:4" x14ac:dyDescent="0.6">
      <c r="B10" s="13"/>
      <c r="C10" s="13" t="s">
        <v>68</v>
      </c>
      <c r="D10" s="14">
        <v>244</v>
      </c>
    </row>
    <row r="11" spans="2:4" x14ac:dyDescent="0.6">
      <c r="B11" s="13"/>
      <c r="C11" s="13" t="s">
        <v>46</v>
      </c>
      <c r="D11" s="14">
        <v>2140</v>
      </c>
    </row>
    <row r="12" spans="2:4" x14ac:dyDescent="0.6">
      <c r="B12" s="13"/>
      <c r="C12" s="13" t="s">
        <v>34</v>
      </c>
      <c r="D12" s="14">
        <v>323</v>
      </c>
    </row>
    <row r="13" spans="2:4" x14ac:dyDescent="0.6">
      <c r="B13" s="13"/>
      <c r="C13" s="13" t="s">
        <v>66</v>
      </c>
      <c r="D13" s="14">
        <v>61</v>
      </c>
    </row>
    <row r="14" spans="2:4" x14ac:dyDescent="0.6">
      <c r="B14" s="13"/>
      <c r="C14" s="13" t="s">
        <v>28</v>
      </c>
      <c r="D14" s="14">
        <v>1853</v>
      </c>
    </row>
    <row r="15" spans="2:4" x14ac:dyDescent="0.6">
      <c r="B15" s="13"/>
      <c r="C15" s="13" t="s">
        <v>79</v>
      </c>
      <c r="D15" s="14">
        <v>230</v>
      </c>
    </row>
    <row r="16" spans="2:4" x14ac:dyDescent="0.6">
      <c r="B16" s="13"/>
      <c r="C16" s="13" t="s">
        <v>44</v>
      </c>
      <c r="D16" s="14">
        <v>334</v>
      </c>
    </row>
    <row r="17" spans="2:4" x14ac:dyDescent="0.6">
      <c r="B17" s="13"/>
      <c r="C17" s="13" t="s">
        <v>85</v>
      </c>
      <c r="D17" s="14">
        <v>12</v>
      </c>
    </row>
    <row r="18" spans="2:4" x14ac:dyDescent="0.6">
      <c r="B18" s="13"/>
      <c r="C18" s="13" t="s">
        <v>77</v>
      </c>
      <c r="D18" s="14">
        <v>605</v>
      </c>
    </row>
    <row r="19" spans="2:4" x14ac:dyDescent="0.6">
      <c r="B19" s="13"/>
      <c r="C19" s="13" t="s">
        <v>64</v>
      </c>
      <c r="D19" s="14">
        <v>2328</v>
      </c>
    </row>
    <row r="20" spans="2:4" x14ac:dyDescent="0.6">
      <c r="B20" s="13"/>
      <c r="C20" s="13" t="s">
        <v>37</v>
      </c>
      <c r="D20" s="14">
        <v>1398</v>
      </c>
    </row>
    <row r="21" spans="2:4" x14ac:dyDescent="0.6">
      <c r="B21" s="13"/>
      <c r="C21" s="13" t="s">
        <v>25</v>
      </c>
      <c r="D21" s="14">
        <v>118</v>
      </c>
    </row>
    <row r="22" spans="2:4" x14ac:dyDescent="0.6">
      <c r="B22" s="12" t="s">
        <v>161</v>
      </c>
      <c r="C22" s="12"/>
      <c r="D22" s="15">
        <v>145273</v>
      </c>
    </row>
  </sheetData>
  <phoneticPr fontId="1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정산리포트</vt:lpstr>
      <vt:lpstr>소급적용 상세내역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 아름</cp:lastModifiedBy>
  <dcterms:created xsi:type="dcterms:W3CDTF">2026-02-09T02:40:57Z</dcterms:created>
  <dcterms:modified xsi:type="dcterms:W3CDTF">2026-02-09T03:04:25Z</dcterms:modified>
</cp:coreProperties>
</file>