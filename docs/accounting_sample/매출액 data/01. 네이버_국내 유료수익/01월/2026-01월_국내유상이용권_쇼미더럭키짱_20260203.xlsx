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A4F7E24C-9B0A-4F59-AB95-BDC367B209CE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0" r:id="rId1"/>
    <sheet name="1월_세금계산서" sheetId="11" r:id="rId2"/>
    <sheet name="컨텐츠별 매출 통계" sheetId="8" r:id="rId3"/>
    <sheet name="로그인정보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13" i="10"/>
  <c r="J5" i="10"/>
  <c r="J6" i="10"/>
  <c r="J7" i="10"/>
  <c r="J8" i="10"/>
  <c r="J9" i="10"/>
  <c r="J4" i="10"/>
  <c r="CR7" i="8"/>
  <c r="CO7" i="8"/>
  <c r="CG7" i="8"/>
  <c r="BZ7" i="8"/>
  <c r="BY7" i="8"/>
  <c r="BX7" i="8"/>
  <c r="BW7" i="8"/>
  <c r="BV7" i="8"/>
  <c r="BU7" i="8"/>
  <c r="BT7" i="8"/>
  <c r="CA7" i="8" l="1"/>
  <c r="CC7" i="8" s="1"/>
  <c r="CD7" i="8" s="1"/>
  <c r="CI7" i="8" s="1"/>
  <c r="CN7" i="8" l="1"/>
  <c r="CK7" i="8"/>
  <c r="CV7" i="8" l="1"/>
  <c r="CP7" i="8"/>
  <c r="I17" i="10" l="1"/>
  <c r="H17" i="10"/>
  <c r="H19" i="10" s="1"/>
  <c r="G17" i="10"/>
  <c r="G19" i="10" s="1"/>
  <c r="F17" i="10"/>
  <c r="F19" i="10" s="1"/>
  <c r="E17" i="10"/>
  <c r="E19" i="10" s="1"/>
  <c r="D17" i="10"/>
  <c r="D19" i="10" s="1"/>
  <c r="C17" i="10"/>
  <c r="B17" i="10"/>
  <c r="B19" i="10" s="1"/>
  <c r="F28" i="11" l="1"/>
  <c r="G28" i="11"/>
  <c r="H28" i="11"/>
</calcChain>
</file>

<file path=xl/sharedStrings.xml><?xml version="1.0" encoding="utf-8"?>
<sst xmlns="http://schemas.openxmlformats.org/spreadsheetml/2006/main" count="174" uniqueCount="111">
  <si>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</si>
  <si>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</si>
  <si>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</si>
  <si>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</si>
  <si>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</si>
  <si>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</si>
  <si>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</si>
  <si>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</si>
  <si>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</si>
  <si>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</si>
  <si>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</si>
  <si>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</si>
  <si>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</si>
  <si>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</si>
  <si>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</si>
  <si>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</si>
  <si>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</si>
  <si>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</si>
  <si>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</si>
  <si>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</si>
  <si>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</si>
  <si>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</si>
  <si>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</si>
  <si>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</si>
  <si>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</si>
  <si>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</si>
  <si>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</si>
  <si>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</si>
  <si>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</si>
  <si>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</si>
  <si>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</si>
  <si>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</si>
  <si>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</si>
  <si>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</si>
  <si>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</si>
  <si>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</si>
  <si>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</si>
  <si>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</si>
  <si>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</si>
  <si>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쇼미더럭키짱!</t>
  </si>
  <si>
    <t>더그림_쇼미더럭키짱</t>
  </si>
  <si>
    <t>김성모</t>
  </si>
  <si>
    <t>박태준 만화회사</t>
  </si>
  <si>
    <t>15세 이상 이용가능</t>
  </si>
  <si>
    <t>2022.06.05</t>
  </si>
  <si>
    <t>팀 박태준_공통</t>
  </si>
  <si>
    <t>쇼미더럭키짱</t>
  </si>
  <si>
    <t>웹툰매출(국내이용권)</t>
    <phoneticPr fontId="18" type="noConversion"/>
  </si>
  <si>
    <t>쇼미더럭키짱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</si>
  <si>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</si>
  <si>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</si>
  <si>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</si>
  <si>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</si>
  <si>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</si>
  <si>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</si>
  <si>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</si>
  <si>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</si>
  <si>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</si>
  <si>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</si>
  <si>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</si>
  <si>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</si>
  <si>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</si>
  <si>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</si>
  <si>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</si>
  <si>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</si>
  <si>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</si>
  <si>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</si>
  <si>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</si>
  <si>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</si>
  <si>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</si>
  <si>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</si>
  <si>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</si>
  <si>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</si>
  <si>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</si>
  <si>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</si>
  <si>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</si>
  <si>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</si>
  <si>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</si>
  <si>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</si>
  <si>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</si>
  <si>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</si>
  <si>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</si>
  <si>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</si>
  <si>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</si>
  <si>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</si>
  <si>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</si>
  <si>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</si>
  <si>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</si>
  <si>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</si>
  <si>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</si>
  <si>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</si>
  <si>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fra13554</t>
  </si>
  <si>
    <t>sujung23!!!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</si>
  <si>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</si>
  <si>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</si>
  <si>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</si>
  <si>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</si>
  <si>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</si>
  <si>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</si>
  <si>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</si>
  <si>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</si>
  <si>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</si>
  <si>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</si>
  <si>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- 2025년 7월 [네이버웹툰 파트너십 프로그램]이 시작되어,  '무상 쿠키' 매출로 포함됩니다.(무상이용권 결제수수료율 상이)</t>
    <phoneticPr fontId="18" type="noConversion"/>
  </si>
  <si>
    <t>2026-01</t>
    <phoneticPr fontId="18" type="noConversion"/>
  </si>
  <si>
    <t>유상이용권-IAB</t>
  </si>
  <si>
    <t>유상이용권-리딤</t>
  </si>
  <si>
    <t>유상이용권-IAP</t>
  </si>
  <si>
    <t>유상이용권-웹+자동충전</t>
  </si>
  <si>
    <t>무상이용권</t>
  </si>
  <si>
    <t>유상이용권-IAB 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</si>
</sst>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-&quot;mm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rgb="FFFF0000"/>
      <name val="나눔고딕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41" fontId="29" fillId="0" borderId="0" xfId="1" applyFont="1" applyAlignment="1">
      <alignment vertical="center" wrapText="1"/>
    </xf>
    <xf numFmtId="41" fontId="28" fillId="36" borderId="0" xfId="1" applyFont="1" applyFill="1" applyAlignment="1">
      <alignment vertical="center" wrapText="1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29" fillId="43" borderId="0" xfId="1" applyFont="1" applyFill="1" applyAlignment="1">
      <alignment vertical="center" wrapText="1"/>
    </xf>
    <xf numFmtId="41" fontId="28" fillId="43" borderId="0" xfId="1" applyFont="1" applyFill="1" applyAlignment="1">
      <alignment vertical="center" wrapText="1"/>
    </xf>
    <xf numFmtId="41" fontId="34" fillId="0" borderId="0" xfId="1" applyFont="1" applyAlignment="1">
      <alignment horizontal="center" vertical="center"/>
    </xf>
    <xf numFmtId="41" fontId="32" fillId="0" borderId="0" xfId="1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49" fontId="35" fillId="0" borderId="0" xfId="0" applyNumberFormat="1" applyFont="1" applyAlignment="1">
      <alignment vertical="center" wrapText="1"/>
    </xf>
    <xf numFmtId="0" fontId="35" fillId="0" borderId="0" xfId="0" applyFont="1" applyAlignment="1">
      <alignment vertical="center" wrapText="1"/>
    </xf>
    <xf numFmtId="3" fontId="35" fillId="0" borderId="0" xfId="0" applyNumberFormat="1" applyFont="1" applyAlignment="1">
      <alignment vertical="center" wrapText="1"/>
    </xf>
    <xf numFmtId="4" fontId="35" fillId="0" borderId="0" xfId="0" applyNumberFormat="1" applyFont="1" applyAlignment="1">
      <alignment vertical="center" wrapText="1"/>
    </xf>
    <xf numFmtId="4" fontId="36" fillId="0" borderId="0" xfId="0" applyNumberFormat="1" applyFont="1" applyAlignment="1">
      <alignment vertical="center" wrapText="1"/>
    </xf>
    <xf numFmtId="49" fontId="35" fillId="0" borderId="0" xfId="1" applyNumberFormat="1" applyFont="1" applyFill="1" applyAlignment="1">
      <alignment horizontal="center" vertical="center"/>
    </xf>
    <xf numFmtId="41" fontId="35" fillId="0" borderId="0" xfId="1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/>
    <xf numFmtId="0" fontId="35" fillId="0" borderId="0" xfId="0" applyFont="1" applyAlignment="1">
      <alignment horizontal="center" vertical="center"/>
    </xf>
    <xf numFmtId="0" fontId="39" fillId="0" borderId="0" xfId="0" quotePrefix="1" applyFont="1">
      <alignment vertical="center"/>
    </xf>
    <xf numFmtId="0" fontId="35" fillId="0" borderId="0" xfId="0" applyFont="1">
      <alignment vertical="center"/>
    </xf>
    <xf numFmtId="41" fontId="35" fillId="0" borderId="0" xfId="1" applyFont="1" applyAlignment="1">
      <alignment vertical="center"/>
    </xf>
    <xf numFmtId="41" fontId="37" fillId="0" borderId="0" xfId="1" applyFont="1" applyFill="1" applyAlignment="1">
      <alignment vertical="center"/>
    </xf>
    <xf numFmtId="41" fontId="35" fillId="0" borderId="0" xfId="1" applyFont="1" applyFill="1" applyBorder="1" applyAlignment="1">
      <alignment vertical="center"/>
    </xf>
    <xf numFmtId="41" fontId="35" fillId="0" borderId="0" xfId="0" applyNumberFormat="1" applyFont="1">
      <alignment vertical="center"/>
    </xf>
    <xf numFmtId="41" fontId="36" fillId="0" borderId="0" xfId="1" applyFont="1" applyFill="1" applyAlignment="1">
      <alignment vertical="center"/>
    </xf>
    <xf numFmtId="9" fontId="0" fillId="0" borderId="0" xfId="2" applyFont="1">
      <alignment vertical="center"/>
    </xf>
    <xf numFmtId="9" fontId="38" fillId="0" borderId="0" xfId="0" applyNumberFormat="1" applyFont="1">
      <alignment vertical="center"/>
    </xf>
    <xf numFmtId="0" fontId="26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6" fontId="23" fillId="37" borderId="0" xfId="0" applyNumberFormat="1" applyFont="1" applyFill="1" applyAlignment="1">
      <alignment horizontal="center" vertical="center" wrapText="1"/>
    </xf>
    <xf numFmtId="176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77258</xdr:colOff>
      <xdr:row>1</xdr:row>
      <xdr:rowOff>68260</xdr:rowOff>
    </xdr:from>
    <xdr:to>
      <xdr:col>26</xdr:col>
      <xdr:colOff>77895</xdr:colOff>
      <xdr:row>19</xdr:row>
      <xdr:rowOff>131761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904C71-F8E3-780D-5991-07F7DCDF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290510"/>
          <a:ext cx="11002542" cy="4064001"/>
        </a:xfrm>
        <a:prstGeom prst="rect">
          <a:avLst/>
        </a:prstGeom>
      </xdr:spPr>
    </xdr:pic>
    <xdr:clientData/>
  </xdr:twoCellAnchor>
  <xdr:twoCellAnchor editAs="oneCell">
    <xdr:from>
      <xdr:col>10</xdr:col>
      <xdr:colOff>36512</xdr:colOff>
      <xdr:row>19</xdr:row>
      <xdr:rowOff>190500</xdr:rowOff>
    </xdr:from>
    <xdr:to>
      <xdr:col>25</xdr:col>
      <xdr:colOff>664518</xdr:colOff>
      <xdr:row>33</xdr:row>
      <xdr:rowOff>9524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24524A-927F-3BB1-A5C6-942BD1142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3679" y="4413250"/>
          <a:ext cx="10941994" cy="2925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10</xdr:col>
      <xdr:colOff>619124</xdr:colOff>
      <xdr:row>20</xdr:row>
      <xdr:rowOff>201426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552D07-E234-446C-896B-35F466D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7419975" cy="4582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773E-3CBD-458F-96E4-366A90ECD481}">
  <sheetPr>
    <tabColor theme="0" tint="-0.249977111117893"/>
  </sheetPr>
  <dimension ref="A1:J38"/>
  <sheetViews>
    <sheetView showGridLines="0" tabSelected="1" zoomScale="90" zoomScaleNormal="90" workbookViewId="0">
      <selection activeCell="D28" sqref="D28"/>
    </sheetView>
  </sheetViews>
  <sheetFormatPr defaultRowHeight="16.899999999999999" x14ac:dyDescent="0.6"/>
  <cols>
    <col min="1" max="1" width="23.75" bestFit="1" customWidth="1"/>
    <col min="2" max="2" width="11.25" style="12" customWidth="1"/>
    <col min="3" max="3" width="11.5" style="12" bestFit="1" customWidth="1"/>
    <col min="4" max="4" width="9.75" style="12" bestFit="1" customWidth="1"/>
    <col min="5" max="5" width="9.375" style="12" bestFit="1" customWidth="1"/>
    <col min="6" max="7" width="10.75" style="12" bestFit="1" customWidth="1"/>
    <col min="8" max="8" width="9.125" style="12" bestFit="1" customWidth="1"/>
    <col min="9" max="9" width="14.125" style="12" bestFit="1" customWidth="1"/>
    <col min="10" max="10" width="6.375" style="54" customWidth="1"/>
  </cols>
  <sheetData>
    <row r="1" spans="1:10" x14ac:dyDescent="0.6">
      <c r="A1" s="7" t="s">
        <v>99</v>
      </c>
    </row>
    <row r="3" spans="1:10" x14ac:dyDescent="0.6">
      <c r="A3" s="17" t="s">
        <v>76</v>
      </c>
      <c r="B3" s="18" t="s">
        <v>77</v>
      </c>
      <c r="C3" s="18" t="s">
        <v>78</v>
      </c>
      <c r="D3" s="18" t="s">
        <v>79</v>
      </c>
      <c r="E3" s="18" t="s">
        <v>80</v>
      </c>
      <c r="F3" s="27" t="s">
        <v>81</v>
      </c>
      <c r="G3" s="27" t="s">
        <v>82</v>
      </c>
      <c r="H3" s="27" t="s">
        <v>83</v>
      </c>
      <c r="I3" s="18" t="s">
        <v>84</v>
      </c>
    </row>
    <row r="4" spans="1:10" x14ac:dyDescent="0.6">
      <c r="A4" s="9" t="s">
        <v>105</v>
      </c>
      <c r="B4" s="13">
        <v>88660</v>
      </c>
      <c r="C4" s="13">
        <v>0</v>
      </c>
      <c r="D4" s="13">
        <v>8866</v>
      </c>
      <c r="E4" s="13">
        <v>79794</v>
      </c>
      <c r="F4" s="28">
        <v>55856</v>
      </c>
      <c r="G4" s="28">
        <v>0</v>
      </c>
      <c r="H4" s="28">
        <v>55856</v>
      </c>
      <c r="I4" s="13">
        <v>23938</v>
      </c>
      <c r="J4" s="54">
        <f>D4/B4</f>
        <v>0.1</v>
      </c>
    </row>
    <row r="5" spans="1:10" x14ac:dyDescent="0.6">
      <c r="A5" s="9" t="s">
        <v>106</v>
      </c>
      <c r="B5" s="13">
        <v>1400</v>
      </c>
      <c r="C5" s="13">
        <v>0</v>
      </c>
      <c r="D5" s="13">
        <v>210</v>
      </c>
      <c r="E5" s="13">
        <v>1190</v>
      </c>
      <c r="F5" s="28">
        <v>833</v>
      </c>
      <c r="G5" s="28">
        <v>0</v>
      </c>
      <c r="H5" s="28">
        <v>833</v>
      </c>
      <c r="I5" s="13">
        <v>357</v>
      </c>
      <c r="J5" s="54">
        <f t="shared" ref="J5:J9" si="0">D5/B5</f>
        <v>0.15</v>
      </c>
    </row>
    <row r="6" spans="1:10" x14ac:dyDescent="0.6">
      <c r="A6" s="9" t="s">
        <v>107</v>
      </c>
      <c r="B6" s="13">
        <v>72466</v>
      </c>
      <c r="C6" s="13">
        <v>0</v>
      </c>
      <c r="D6" s="13">
        <v>21740</v>
      </c>
      <c r="E6" s="13">
        <v>50726</v>
      </c>
      <c r="F6" s="28">
        <v>35508</v>
      </c>
      <c r="G6" s="28">
        <v>0</v>
      </c>
      <c r="H6" s="28">
        <v>35508</v>
      </c>
      <c r="I6" s="13">
        <v>15218</v>
      </c>
      <c r="J6" s="54">
        <f t="shared" si="0"/>
        <v>0.30000275991499464</v>
      </c>
    </row>
    <row r="7" spans="1:10" x14ac:dyDescent="0.6">
      <c r="A7" s="9" t="s">
        <v>108</v>
      </c>
      <c r="B7" s="13">
        <v>122100</v>
      </c>
      <c r="C7" s="13">
        <v>0</v>
      </c>
      <c r="D7" s="13">
        <v>12210</v>
      </c>
      <c r="E7" s="13">
        <v>109890</v>
      </c>
      <c r="F7" s="28">
        <v>76923</v>
      </c>
      <c r="G7" s="28">
        <v>0</v>
      </c>
      <c r="H7" s="28">
        <v>76923</v>
      </c>
      <c r="I7" s="13">
        <v>32967</v>
      </c>
      <c r="J7" s="54">
        <f t="shared" si="0"/>
        <v>0.1</v>
      </c>
    </row>
    <row r="8" spans="1:10" x14ac:dyDescent="0.6">
      <c r="A8" s="9" t="s">
        <v>109</v>
      </c>
      <c r="B8" s="13">
        <v>52180</v>
      </c>
      <c r="C8" s="13">
        <v>0</v>
      </c>
      <c r="D8" s="13">
        <v>4470</v>
      </c>
      <c r="E8" s="13">
        <v>47710</v>
      </c>
      <c r="F8" s="28">
        <v>33397</v>
      </c>
      <c r="G8" s="28">
        <v>0</v>
      </c>
      <c r="H8" s="28">
        <v>33397</v>
      </c>
      <c r="I8" s="13">
        <v>14313</v>
      </c>
      <c r="J8" s="54">
        <f t="shared" si="0"/>
        <v>8.566500574932924E-2</v>
      </c>
    </row>
    <row r="9" spans="1:10" x14ac:dyDescent="0.6">
      <c r="A9" s="9" t="s">
        <v>110</v>
      </c>
      <c r="B9" s="13">
        <v>56400</v>
      </c>
      <c r="C9" s="13">
        <v>0</v>
      </c>
      <c r="D9" s="13">
        <v>5640</v>
      </c>
      <c r="E9" s="13">
        <v>50760</v>
      </c>
      <c r="F9" s="28">
        <v>35532</v>
      </c>
      <c r="G9" s="28">
        <v>0</v>
      </c>
      <c r="H9" s="28">
        <v>35532</v>
      </c>
      <c r="I9" s="13">
        <v>15228</v>
      </c>
      <c r="J9" s="54">
        <f t="shared" si="0"/>
        <v>0.1</v>
      </c>
    </row>
    <row r="10" spans="1:10" x14ac:dyDescent="0.6">
      <c r="A10" s="11" t="s">
        <v>27</v>
      </c>
      <c r="B10" s="14">
        <v>393206</v>
      </c>
      <c r="C10" s="14">
        <v>0</v>
      </c>
      <c r="D10" s="14">
        <v>53136</v>
      </c>
      <c r="E10" s="14">
        <v>340070</v>
      </c>
      <c r="F10" s="29">
        <v>238049</v>
      </c>
      <c r="G10" s="29">
        <v>0</v>
      </c>
      <c r="H10" s="29">
        <v>238049</v>
      </c>
      <c r="I10" s="14">
        <v>102021</v>
      </c>
    </row>
    <row r="11" spans="1:10" x14ac:dyDescent="0.6">
      <c r="F11" s="30"/>
      <c r="G11" s="30"/>
      <c r="H11" s="30"/>
    </row>
    <row r="12" spans="1:10" x14ac:dyDescent="0.6">
      <c r="A12" s="19" t="s">
        <v>76</v>
      </c>
      <c r="B12" s="20" t="s">
        <v>77</v>
      </c>
      <c r="C12" s="20" t="s">
        <v>78</v>
      </c>
      <c r="D12" s="20" t="s">
        <v>79</v>
      </c>
      <c r="E12" s="20" t="s">
        <v>80</v>
      </c>
      <c r="F12" s="31" t="s">
        <v>81</v>
      </c>
      <c r="G12" s="31" t="s">
        <v>82</v>
      </c>
      <c r="H12" s="31" t="s">
        <v>83</v>
      </c>
      <c r="I12" s="20" t="s">
        <v>84</v>
      </c>
    </row>
    <row r="13" spans="1:10" x14ac:dyDescent="0.6">
      <c r="A13" s="8" t="s">
        <v>108</v>
      </c>
      <c r="B13" s="15">
        <v>6000</v>
      </c>
      <c r="C13" s="15">
        <v>0</v>
      </c>
      <c r="D13" s="15">
        <v>600</v>
      </c>
      <c r="E13" s="15">
        <v>5400</v>
      </c>
      <c r="F13" s="32">
        <v>3780</v>
      </c>
      <c r="G13" s="32">
        <v>0</v>
      </c>
      <c r="H13" s="32">
        <v>3780</v>
      </c>
      <c r="I13" s="15">
        <v>1620</v>
      </c>
      <c r="J13" s="54">
        <f t="shared" ref="J13" si="1">D13/B13</f>
        <v>0.1</v>
      </c>
    </row>
    <row r="14" spans="1:10" x14ac:dyDescent="0.6">
      <c r="A14" s="10" t="s">
        <v>27</v>
      </c>
      <c r="B14" s="16">
        <v>6000</v>
      </c>
      <c r="C14" s="16">
        <v>0</v>
      </c>
      <c r="D14" s="16">
        <v>600</v>
      </c>
      <c r="E14" s="16">
        <v>5400</v>
      </c>
      <c r="F14" s="33">
        <v>3780</v>
      </c>
      <c r="G14" s="33">
        <v>0</v>
      </c>
      <c r="H14" s="33">
        <v>3780</v>
      </c>
      <c r="I14" s="16">
        <v>1620</v>
      </c>
    </row>
    <row r="15" spans="1:10" x14ac:dyDescent="0.6">
      <c r="F15" s="30"/>
      <c r="G15" s="30"/>
      <c r="H15" s="30"/>
    </row>
    <row r="16" spans="1:10" x14ac:dyDescent="0.6">
      <c r="F16" s="30"/>
      <c r="G16" s="30"/>
      <c r="H16" s="30"/>
    </row>
    <row r="17" spans="1:9" x14ac:dyDescent="0.6">
      <c r="A17" s="21" t="s">
        <v>85</v>
      </c>
      <c r="B17" s="22">
        <f t="shared" ref="B17:I17" si="2">B10+B14</f>
        <v>399206</v>
      </c>
      <c r="C17" s="22">
        <f t="shared" si="2"/>
        <v>0</v>
      </c>
      <c r="D17" s="22">
        <f t="shared" si="2"/>
        <v>53736</v>
      </c>
      <c r="E17" s="22">
        <f t="shared" si="2"/>
        <v>345470</v>
      </c>
      <c r="F17" s="29">
        <f t="shared" si="2"/>
        <v>241829</v>
      </c>
      <c r="G17" s="29">
        <f t="shared" si="2"/>
        <v>0</v>
      </c>
      <c r="H17" s="29">
        <f t="shared" si="2"/>
        <v>241829</v>
      </c>
      <c r="I17" s="22">
        <f t="shared" si="2"/>
        <v>103641</v>
      </c>
    </row>
    <row r="19" spans="1:9" x14ac:dyDescent="0.6">
      <c r="B19" s="26" t="b">
        <f>B17='컨텐츠별 매출 통계'!CA7</f>
        <v>1</v>
      </c>
      <c r="C19" s="26"/>
      <c r="D19" s="26" t="b">
        <f>D17='컨텐츠별 매출 통계'!CB7</f>
        <v>1</v>
      </c>
      <c r="E19" s="26" t="b">
        <f>E17='컨텐츠별 매출 통계'!CC7</f>
        <v>1</v>
      </c>
      <c r="F19" s="26" t="b">
        <f>F17='컨텐츠별 매출 통계'!CN7</f>
        <v>1</v>
      </c>
      <c r="G19" s="26" t="b">
        <f>G17='컨텐츠별 매출 통계'!CO7</f>
        <v>1</v>
      </c>
      <c r="H19" s="26" t="b">
        <f>H17='컨텐츠별 매출 통계'!CP7</f>
        <v>1</v>
      </c>
      <c r="I19" s="26"/>
    </row>
    <row r="20" spans="1:9" x14ac:dyDescent="0.6">
      <c r="A20" s="12"/>
    </row>
    <row r="21" spans="1:9" x14ac:dyDescent="0.6">
      <c r="A21" s="12"/>
    </row>
    <row r="22" spans="1:9" x14ac:dyDescent="0.6">
      <c r="A22" s="12"/>
    </row>
    <row r="23" spans="1:9" x14ac:dyDescent="0.6">
      <c r="A23" s="12"/>
    </row>
    <row r="24" spans="1:9" x14ac:dyDescent="0.6">
      <c r="A24" s="12"/>
    </row>
    <row r="25" spans="1:9" x14ac:dyDescent="0.6">
      <c r="A25" s="12"/>
    </row>
    <row r="26" spans="1:9" x14ac:dyDescent="0.6">
      <c r="A26" s="12"/>
    </row>
    <row r="27" spans="1:9" x14ac:dyDescent="0.6">
      <c r="A27" s="12"/>
    </row>
    <row r="28" spans="1:9" x14ac:dyDescent="0.6">
      <c r="A28" s="12"/>
    </row>
    <row r="29" spans="1:9" x14ac:dyDescent="0.6">
      <c r="A29" s="12"/>
    </row>
    <row r="30" spans="1:9" x14ac:dyDescent="0.6">
      <c r="A30" s="12"/>
    </row>
    <row r="31" spans="1:9" x14ac:dyDescent="0.6">
      <c r="A31" s="12"/>
    </row>
    <row r="32" spans="1:9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B36"/>
      <c r="C36"/>
    </row>
    <row r="37" spans="1:3" x14ac:dyDescent="0.6">
      <c r="B37"/>
      <c r="C37"/>
    </row>
    <row r="38" spans="1:3" x14ac:dyDescent="0.6">
      <c r="B38"/>
      <c r="C38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B54D-B14F-4AF2-B604-1A5FA7E91CEC}">
  <sheetPr>
    <tabColor theme="0" tint="-0.249977111117893"/>
  </sheetPr>
  <dimension ref="F26:H31"/>
  <sheetViews>
    <sheetView showGridLines="0" workbookViewId="0">
      <selection activeCell="S26" sqref="S26"/>
    </sheetView>
  </sheetViews>
  <sheetFormatPr defaultRowHeight="16.899999999999999" x14ac:dyDescent="0.6"/>
  <sheetData>
    <row r="26" spans="6:8" x14ac:dyDescent="0.6">
      <c r="F26" s="35" t="s">
        <v>100</v>
      </c>
      <c r="G26" s="35" t="s">
        <v>101</v>
      </c>
      <c r="H26" s="35" t="s">
        <v>102</v>
      </c>
    </row>
    <row r="27" spans="6:8" x14ac:dyDescent="0.6">
      <c r="F27" s="34">
        <v>241829</v>
      </c>
      <c r="G27" s="34">
        <v>0</v>
      </c>
      <c r="H27" s="34">
        <v>241829</v>
      </c>
    </row>
    <row r="28" spans="6:8" x14ac:dyDescent="0.6">
      <c r="F28" s="34" t="b">
        <f>F27='1월_정산내역서'!F17</f>
        <v>1</v>
      </c>
      <c r="G28" s="34" t="b">
        <f>G27='1월_정산내역서'!G17</f>
        <v>1</v>
      </c>
      <c r="H28" s="34" t="b">
        <f>H27='1월_정산내역서'!H17</f>
        <v>1</v>
      </c>
    </row>
    <row r="29" spans="6:8" x14ac:dyDescent="0.6">
      <c r="F29" s="34"/>
      <c r="G29" s="34"/>
      <c r="H29" s="34"/>
    </row>
    <row r="30" spans="6:8" x14ac:dyDescent="0.6">
      <c r="F30" s="34"/>
      <c r="G30" s="34"/>
      <c r="H30" s="34"/>
    </row>
    <row r="31" spans="6:8" x14ac:dyDescent="0.6">
      <c r="F31" s="34"/>
      <c r="G31" s="34"/>
      <c r="H31" s="34"/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V19"/>
  <sheetViews>
    <sheetView showGridLines="0" zoomScale="90" zoomScaleNormal="90" workbookViewId="0">
      <pane ySplit="6" topLeftCell="A7" activePane="bottomLeft" state="frozen"/>
      <selection pane="bottomLeft" activeCell="BV33" sqref="BV33"/>
    </sheetView>
  </sheetViews>
  <sheetFormatPr defaultRowHeight="16.899999999999999" outlineLevelCol="1" x14ac:dyDescent="0.6"/>
  <cols>
    <col min="1" max="1" width="11" style="1" bestFit="1" customWidth="1"/>
    <col min="2" max="2" width="8.125" style="1" bestFit="1" customWidth="1"/>
    <col min="3" max="3" width="0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3.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" style="1" bestFit="1" customWidth="1"/>
    <col min="81" max="81" width="8.125" style="1" bestFit="1" customWidth="1"/>
    <col min="82" max="82" width="8.375" style="1" bestFit="1" customWidth="1"/>
    <col min="83" max="83" width="3.75" style="1" bestFit="1" customWidth="1"/>
    <col min="84" max="85" width="7.375" style="2" bestFit="1" customWidth="1"/>
    <col min="86" max="86" width="11.875" style="2" bestFit="1" customWidth="1"/>
    <col min="87" max="87" width="8.375" style="2" bestFit="1" customWidth="1"/>
    <col min="88" max="88" width="7.5" style="2" hidden="1" customWidth="1"/>
    <col min="89" max="89" width="8.375" style="2" hidden="1" customWidth="1"/>
    <col min="90" max="90" width="9" style="2"/>
    <col min="91" max="91" width="9" style="2" hidden="1" customWidth="1"/>
    <col min="92" max="92" width="8.375" style="2" bestFit="1" customWidth="1"/>
    <col min="93" max="93" width="7.5" style="2" bestFit="1" customWidth="1"/>
    <col min="94" max="94" width="8.375" style="2" bestFit="1" customWidth="1"/>
    <col min="95" max="95" width="1.625" style="1" customWidth="1"/>
    <col min="96" max="96" width="49.125" style="1" bestFit="1" customWidth="1"/>
    <col min="97" max="97" width="11" style="1" bestFit="1" customWidth="1"/>
    <col min="98" max="98" width="9.75" style="1" bestFit="1" customWidth="1"/>
    <col min="99" max="99" width="15.125" style="1" bestFit="1" customWidth="1"/>
    <col min="100" max="100" width="9.375" style="1" bestFit="1" customWidth="1"/>
  </cols>
  <sheetData>
    <row r="1" spans="1:100" x14ac:dyDescent="0.6">
      <c r="A1" s="7" t="s">
        <v>72</v>
      </c>
    </row>
    <row r="2" spans="1:100" x14ac:dyDescent="0.6">
      <c r="A2" s="47" t="s">
        <v>103</v>
      </c>
    </row>
    <row r="3" spans="1:100" ht="19.5" customHeight="1" x14ac:dyDescent="0.6">
      <c r="A3" s="56" t="s">
        <v>0</v>
      </c>
      <c r="B3" s="56"/>
      <c r="C3" s="56"/>
      <c r="D3" s="56"/>
    </row>
    <row r="4" spans="1:100" x14ac:dyDescent="0.6">
      <c r="BT4" s="6">
        <v>0.1</v>
      </c>
      <c r="BU4" s="55">
        <v>0.09</v>
      </c>
      <c r="BV4" s="6">
        <v>0.1</v>
      </c>
      <c r="BW4" s="6">
        <v>0.1</v>
      </c>
      <c r="BX4" s="6">
        <v>0.1</v>
      </c>
      <c r="BY4" s="6">
        <v>0.15</v>
      </c>
      <c r="BZ4" s="6">
        <v>0.3</v>
      </c>
      <c r="CA4" s="6"/>
      <c r="CB4" s="5"/>
      <c r="CC4" s="5"/>
      <c r="CD4" s="5">
        <v>0.7</v>
      </c>
    </row>
    <row r="5" spans="1:100" ht="16.5" customHeight="1" x14ac:dyDescent="0.6">
      <c r="A5" s="57" t="s">
        <v>1</v>
      </c>
      <c r="B5" s="57" t="s">
        <v>2</v>
      </c>
      <c r="C5" s="58" t="s">
        <v>3</v>
      </c>
      <c r="D5" s="57" t="s">
        <v>4</v>
      </c>
      <c r="E5" s="57" t="s">
        <v>5</v>
      </c>
      <c r="F5" s="57" t="s">
        <v>6</v>
      </c>
      <c r="G5" s="58" t="s">
        <v>7</v>
      </c>
      <c r="H5" s="58" t="s">
        <v>8</v>
      </c>
      <c r="I5" s="59" t="s">
        <v>9</v>
      </c>
      <c r="J5" s="59"/>
      <c r="K5" s="59"/>
      <c r="L5" s="59"/>
      <c r="M5" s="59"/>
      <c r="N5" s="59"/>
      <c r="O5" s="59"/>
      <c r="P5" s="59"/>
      <c r="Q5" s="59"/>
      <c r="R5" s="60" t="s">
        <v>10</v>
      </c>
      <c r="S5" s="60"/>
      <c r="T5" s="60"/>
      <c r="U5" s="60"/>
      <c r="V5" s="60"/>
      <c r="W5" s="60"/>
      <c r="X5" s="60"/>
      <c r="Y5" s="60"/>
      <c r="Z5" s="60"/>
      <c r="AA5" s="59" t="s">
        <v>11</v>
      </c>
      <c r="AB5" s="59"/>
      <c r="AC5" s="59"/>
      <c r="AD5" s="60" t="s">
        <v>12</v>
      </c>
      <c r="AE5" s="60"/>
      <c r="AF5" s="60"/>
      <c r="AG5" s="59" t="s">
        <v>13</v>
      </c>
      <c r="AH5" s="59"/>
      <c r="AI5" s="59"/>
      <c r="AJ5" s="60" t="s">
        <v>14</v>
      </c>
      <c r="AK5" s="60"/>
      <c r="AL5" s="60"/>
      <c r="AM5" s="59" t="s">
        <v>15</v>
      </c>
      <c r="AN5" s="59"/>
      <c r="AO5" s="59"/>
      <c r="AP5" s="60" t="s">
        <v>16</v>
      </c>
      <c r="AQ5" s="60"/>
      <c r="AR5" s="60"/>
      <c r="AS5" s="59" t="s">
        <v>17</v>
      </c>
      <c r="AT5" s="59"/>
      <c r="AU5" s="59"/>
      <c r="AV5" s="60" t="s">
        <v>18</v>
      </c>
      <c r="AW5" s="60"/>
      <c r="AX5" s="60"/>
      <c r="AY5" s="59" t="s">
        <v>19</v>
      </c>
      <c r="AZ5" s="59"/>
      <c r="BA5" s="59"/>
      <c r="BB5" s="60" t="s">
        <v>20</v>
      </c>
      <c r="BC5" s="60"/>
      <c r="BD5" s="60"/>
      <c r="BE5" s="59" t="s">
        <v>21</v>
      </c>
      <c r="BF5" s="59"/>
      <c r="BG5" s="59"/>
      <c r="BH5" s="60" t="s">
        <v>22</v>
      </c>
      <c r="BI5" s="60"/>
      <c r="BJ5" s="60"/>
      <c r="BK5" s="59" t="s">
        <v>23</v>
      </c>
      <c r="BL5" s="59"/>
      <c r="BM5" s="59"/>
      <c r="BN5" s="60" t="s">
        <v>24</v>
      </c>
      <c r="BO5" s="60"/>
      <c r="BP5" s="60"/>
      <c r="BQ5" s="61" t="s">
        <v>25</v>
      </c>
      <c r="BR5" s="61" t="s">
        <v>26</v>
      </c>
      <c r="BS5" s="61" t="s">
        <v>27</v>
      </c>
      <c r="BT5" s="73" t="s">
        <v>71</v>
      </c>
      <c r="BU5" s="73" t="s">
        <v>70</v>
      </c>
      <c r="BV5" s="73" t="s">
        <v>69</v>
      </c>
      <c r="BW5" s="73" t="s">
        <v>68</v>
      </c>
      <c r="BX5" s="73" t="s">
        <v>67</v>
      </c>
      <c r="BY5" s="73" t="s">
        <v>66</v>
      </c>
      <c r="BZ5" s="73" t="s">
        <v>65</v>
      </c>
      <c r="CA5" s="73" t="s">
        <v>64</v>
      </c>
      <c r="CB5" s="73" t="s">
        <v>63</v>
      </c>
      <c r="CC5" s="76" t="s">
        <v>49</v>
      </c>
      <c r="CD5" s="64" t="s">
        <v>62</v>
      </c>
      <c r="CF5" s="66" t="s">
        <v>61</v>
      </c>
      <c r="CG5" s="68" t="s">
        <v>60</v>
      </c>
      <c r="CH5" s="68" t="s">
        <v>59</v>
      </c>
      <c r="CI5" s="70" t="s">
        <v>58</v>
      </c>
      <c r="CJ5" s="70" t="s">
        <v>57</v>
      </c>
      <c r="CK5" s="70" t="s">
        <v>27</v>
      </c>
      <c r="CL5" s="74" t="s">
        <v>56</v>
      </c>
      <c r="CM5" s="62" t="s">
        <v>55</v>
      </c>
      <c r="CN5" s="64" t="s">
        <v>73</v>
      </c>
      <c r="CO5" s="64" t="s">
        <v>74</v>
      </c>
      <c r="CP5" s="64" t="s">
        <v>75</v>
      </c>
      <c r="CR5" s="72" t="s">
        <v>54</v>
      </c>
      <c r="CS5" s="72" t="s">
        <v>53</v>
      </c>
      <c r="CT5" s="72" t="s">
        <v>52</v>
      </c>
      <c r="CU5" s="72" t="s">
        <v>51</v>
      </c>
      <c r="CV5" s="72" t="s">
        <v>50</v>
      </c>
    </row>
    <row r="6" spans="1:100" ht="27" customHeight="1" x14ac:dyDescent="0.6">
      <c r="A6" s="57"/>
      <c r="B6" s="57"/>
      <c r="C6" s="58"/>
      <c r="D6" s="57"/>
      <c r="E6" s="57"/>
      <c r="F6" s="57"/>
      <c r="G6" s="58"/>
      <c r="H6" s="58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61"/>
      <c r="BR6" s="61"/>
      <c r="BS6" s="61"/>
      <c r="BT6" s="73"/>
      <c r="BU6" s="73"/>
      <c r="BV6" s="73"/>
      <c r="BW6" s="73"/>
      <c r="BX6" s="73"/>
      <c r="BY6" s="73"/>
      <c r="BZ6" s="73"/>
      <c r="CA6" s="73"/>
      <c r="CB6" s="73"/>
      <c r="CC6" s="76" t="s">
        <v>49</v>
      </c>
      <c r="CD6" s="65"/>
      <c r="CF6" s="67"/>
      <c r="CG6" s="69"/>
      <c r="CH6" s="69"/>
      <c r="CI6" s="71"/>
      <c r="CJ6" s="71"/>
      <c r="CK6" s="71"/>
      <c r="CL6" s="75"/>
      <c r="CM6" s="63"/>
      <c r="CN6" s="65"/>
      <c r="CO6" s="65"/>
      <c r="CP6" s="65"/>
      <c r="CR6" s="72"/>
      <c r="CS6" s="72"/>
      <c r="CT6" s="72"/>
      <c r="CU6" s="72"/>
      <c r="CV6" s="72"/>
    </row>
    <row r="7" spans="1:100" s="48" customFormat="1" ht="13.15" x14ac:dyDescent="0.45">
      <c r="A7" s="36" t="s">
        <v>39</v>
      </c>
      <c r="B7" s="36">
        <v>450115</v>
      </c>
      <c r="C7" s="37"/>
      <c r="D7" s="36" t="s">
        <v>40</v>
      </c>
      <c r="E7" s="36" t="s">
        <v>41</v>
      </c>
      <c r="F7" s="36" t="s">
        <v>42</v>
      </c>
      <c r="G7" s="38" t="s">
        <v>43</v>
      </c>
      <c r="H7" s="38" t="s">
        <v>44</v>
      </c>
      <c r="I7" s="38">
        <v>0</v>
      </c>
      <c r="J7" s="39">
        <v>18997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569</v>
      </c>
      <c r="AB7" s="39">
        <v>71700</v>
      </c>
      <c r="AC7" s="39">
        <v>17375</v>
      </c>
      <c r="AD7" s="38">
        <v>312</v>
      </c>
      <c r="AE7" s="39">
        <v>31200</v>
      </c>
      <c r="AF7" s="39">
        <v>32305</v>
      </c>
      <c r="AG7" s="38">
        <v>345</v>
      </c>
      <c r="AH7" s="39">
        <v>71746</v>
      </c>
      <c r="AI7" s="38">
        <v>500</v>
      </c>
      <c r="AJ7" s="38">
        <v>3</v>
      </c>
      <c r="AK7" s="38">
        <v>720</v>
      </c>
      <c r="AL7" s="38">
        <v>0</v>
      </c>
      <c r="AM7" s="38">
        <v>118</v>
      </c>
      <c r="AN7" s="39">
        <v>25200</v>
      </c>
      <c r="AO7" s="38">
        <v>200</v>
      </c>
      <c r="AP7" s="38">
        <v>0</v>
      </c>
      <c r="AQ7" s="38">
        <v>0</v>
      </c>
      <c r="AR7" s="38">
        <v>0</v>
      </c>
      <c r="AS7" s="38">
        <v>336</v>
      </c>
      <c r="AT7" s="39">
        <v>88660</v>
      </c>
      <c r="AU7" s="38">
        <v>200</v>
      </c>
      <c r="AV7" s="38">
        <v>0</v>
      </c>
      <c r="AW7" s="38">
        <v>0</v>
      </c>
      <c r="AX7" s="38">
        <v>0</v>
      </c>
      <c r="AY7" s="38">
        <v>299</v>
      </c>
      <c r="AZ7" s="39">
        <v>56400</v>
      </c>
      <c r="BA7" s="39">
        <v>1600</v>
      </c>
      <c r="BB7" s="38">
        <v>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14</v>
      </c>
      <c r="BL7" s="39">
        <v>1400</v>
      </c>
      <c r="BM7" s="38">
        <v>0</v>
      </c>
      <c r="BN7" s="38">
        <v>0</v>
      </c>
      <c r="BO7" s="38">
        <v>0</v>
      </c>
      <c r="BP7" s="38">
        <v>0</v>
      </c>
      <c r="BQ7" s="38">
        <v>0</v>
      </c>
      <c r="BR7" s="40">
        <v>39734.800000000003</v>
      </c>
      <c r="BS7" s="41">
        <v>399206</v>
      </c>
      <c r="BT7" s="50">
        <f t="shared" ref="BT7" si="0">BF7+BI7</f>
        <v>0</v>
      </c>
      <c r="BU7" s="50">
        <f t="shared" ref="BU7" si="1">AC7+AF7+AI7+AL7+AO7+AR7+AU7+AX7+BA7+BD7+BG7+BJ7+BM7+BP7</f>
        <v>52180</v>
      </c>
      <c r="BV7" s="50">
        <f t="shared" ref="BV7" si="2">AQ7+AN7+AB7+AE7</f>
        <v>128100</v>
      </c>
      <c r="BW7" s="50">
        <f t="shared" ref="BW7" si="3">AT7+AW7</f>
        <v>88660</v>
      </c>
      <c r="BX7" s="50">
        <f t="shared" ref="BX7" si="4">BC7+AZ7</f>
        <v>56400</v>
      </c>
      <c r="BY7" s="50">
        <f t="shared" ref="BY7" si="5">BL7+BO7</f>
        <v>1400</v>
      </c>
      <c r="BZ7" s="50">
        <f t="shared" ref="BZ7" si="6">AH7+AK7</f>
        <v>72466</v>
      </c>
      <c r="CA7" s="50">
        <f t="shared" ref="CA7" si="7">SUM(BT7:BZ7)</f>
        <v>399206</v>
      </c>
      <c r="CB7" s="53">
        <f>ROUND(((BT7*$BT$4)+(BU7*$BU$4)+(BV7*$BV$4)+(BW7*$BW$4)+(BX7*$BX$4)+(BY7*$BY$4)+(BZ7*$BZ$4)),0)-226</f>
        <v>53736</v>
      </c>
      <c r="CC7" s="50">
        <f t="shared" ref="CC7" si="8">CA7-CB7</f>
        <v>345470</v>
      </c>
      <c r="CD7" s="51">
        <f t="shared" ref="CD7" si="9">ROUND(CC7*$CD$4,0)</f>
        <v>241829</v>
      </c>
      <c r="CF7" s="42" t="s">
        <v>104</v>
      </c>
      <c r="CG7" s="42" t="str">
        <f t="shared" ref="CG7" si="10">CF7</f>
        <v>2026-01</v>
      </c>
      <c r="CH7" s="43" t="s">
        <v>48</v>
      </c>
      <c r="CI7" s="43">
        <f t="shared" ref="CI7" si="11">CD7</f>
        <v>241829</v>
      </c>
      <c r="CJ7" s="43">
        <v>0</v>
      </c>
      <c r="CK7" s="43">
        <f t="shared" ref="CK7" si="12">CI7+CJ7</f>
        <v>241829</v>
      </c>
      <c r="CL7" s="43"/>
      <c r="CM7" s="43"/>
      <c r="CN7" s="43">
        <f t="shared" ref="CN7" si="13">CI7+CL7</f>
        <v>241829</v>
      </c>
      <c r="CO7" s="43">
        <f t="shared" ref="CO7" si="14">CJ7+CM7</f>
        <v>0</v>
      </c>
      <c r="CP7" s="43">
        <f t="shared" ref="CP7" si="15">CN7+CO7</f>
        <v>241829</v>
      </c>
      <c r="CR7" s="44" t="str">
        <f t="shared" ref="CR7" si="16">CF7&amp;"월국내유상이용권_웹툰&lt;"&amp;CH7&amp;"&gt;"</f>
        <v>2026-01월국내유상이용권_웹툰&lt;쇼미더럭키짱&gt;</v>
      </c>
      <c r="CS7" s="45" t="s">
        <v>45</v>
      </c>
      <c r="CT7" s="45" t="s">
        <v>46</v>
      </c>
      <c r="CU7" s="45" t="s">
        <v>47</v>
      </c>
      <c r="CV7" s="52">
        <f t="shared" ref="CV7" si="17">CN7</f>
        <v>241829</v>
      </c>
    </row>
    <row r="8" spans="1:100" s="48" customFormat="1" ht="13.15" x14ac:dyDescent="0.6"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CB8" s="52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</row>
    <row r="9" spans="1:100" s="48" customFormat="1" ht="13.15" x14ac:dyDescent="0.6"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</row>
    <row r="10" spans="1:100" s="48" customFormat="1" ht="13.15" x14ac:dyDescent="0.6"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CB10" s="52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</row>
    <row r="11" spans="1:100" s="48" customFormat="1" ht="13.15" x14ac:dyDescent="0.6"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CB11" s="52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</row>
    <row r="12" spans="1:100" s="48" customFormat="1" ht="13.15" x14ac:dyDescent="0.6"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</row>
    <row r="13" spans="1:100" s="48" customFormat="1" ht="13.15" x14ac:dyDescent="0.6"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</row>
    <row r="14" spans="1:100" s="48" customFormat="1" ht="13.15" x14ac:dyDescent="0.6"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</row>
    <row r="15" spans="1:100" s="48" customFormat="1" ht="13.15" x14ac:dyDescent="0.6"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</row>
    <row r="16" spans="1:100" s="48" customFormat="1" ht="13.15" x14ac:dyDescent="0.6"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</row>
    <row r="17" spans="9:94" s="48" customFormat="1" ht="13.15" x14ac:dyDescent="0.6"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</row>
    <row r="18" spans="9:94" s="48" customFormat="1" ht="13.15" x14ac:dyDescent="0.6"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</row>
    <row r="19" spans="9:94" s="48" customFormat="1" ht="13.15" x14ac:dyDescent="0.6"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77" t="s">
        <v>86</v>
      </c>
      <c r="C3" s="78"/>
      <c r="D3" s="78"/>
      <c r="E3" s="78"/>
      <c r="F3" s="78"/>
      <c r="G3" s="79"/>
    </row>
    <row r="4" spans="2:7" x14ac:dyDescent="0.6">
      <c r="B4" s="23" t="s">
        <v>87</v>
      </c>
      <c r="C4" s="23" t="s">
        <v>88</v>
      </c>
      <c r="D4" s="23" t="s">
        <v>89</v>
      </c>
      <c r="E4" s="23" t="s">
        <v>95</v>
      </c>
      <c r="F4" s="23" t="s">
        <v>97</v>
      </c>
      <c r="G4" s="23" t="s">
        <v>90</v>
      </c>
    </row>
    <row r="5" spans="2:7" x14ac:dyDescent="0.6">
      <c r="B5" s="24" t="s">
        <v>91</v>
      </c>
      <c r="C5" s="24" t="s">
        <v>92</v>
      </c>
      <c r="D5" s="25" t="s">
        <v>93</v>
      </c>
      <c r="E5" s="24" t="s">
        <v>96</v>
      </c>
      <c r="F5" s="24" t="s">
        <v>98</v>
      </c>
      <c r="G5" s="24" t="s">
        <v>94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1월_정산내역서</vt:lpstr>
      <vt:lpstr>1월_세금계산서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2026-02-03T01:46:34Z</dcterms:modified>
</cp:coreProperties>
</file>