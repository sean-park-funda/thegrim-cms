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7CDF2E11-7239-42CB-8F61-D7F3D7A1D252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2" r:id="rId1"/>
    <sheet name="1월_세금계산서" sheetId="13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5" i="12"/>
  <c r="J6" i="12"/>
  <c r="J7" i="12"/>
  <c r="J8" i="12"/>
  <c r="J9" i="12"/>
  <c r="J10" i="12"/>
  <c r="J11" i="12"/>
  <c r="J15" i="12"/>
  <c r="J16" i="12"/>
  <c r="J17" i="12"/>
  <c r="J18" i="12"/>
  <c r="J19" i="12"/>
  <c r="J4" i="12"/>
  <c r="CR7" i="8"/>
  <c r="CO7" i="8"/>
  <c r="CG7" i="8"/>
  <c r="BZ7" i="8"/>
  <c r="BY7" i="8"/>
  <c r="BX7" i="8"/>
  <c r="BW7" i="8"/>
  <c r="BV7" i="8"/>
  <c r="BU7" i="8"/>
  <c r="BT7" i="8"/>
  <c r="CA7" i="8" s="1"/>
  <c r="B25" i="12" s="1"/>
  <c r="G25" i="12"/>
  <c r="D25" i="12" l="1"/>
  <c r="CC7" i="8"/>
  <c r="CD7" i="8" l="1"/>
  <c r="CI7" i="8" s="1"/>
  <c r="E25" i="12"/>
  <c r="B23" i="12"/>
  <c r="C23" i="12"/>
  <c r="D23" i="12"/>
  <c r="E23" i="12"/>
  <c r="F23" i="12"/>
  <c r="G29" i="13" s="1"/>
  <c r="G23" i="12"/>
  <c r="H23" i="12"/>
  <c r="I29" i="13" s="1"/>
  <c r="I23" i="12"/>
  <c r="CK7" i="8" l="1"/>
  <c r="CN7" i="8"/>
  <c r="H29" i="13"/>
  <c r="CV7" i="8" l="1"/>
  <c r="F25" i="12"/>
  <c r="CP7" i="8"/>
  <c r="H25" i="12" s="1"/>
</calcChain>
</file>

<file path=xl/sharedStrings.xml><?xml version="1.0" encoding="utf-8"?>
<sst xmlns="http://schemas.openxmlformats.org/spreadsheetml/2006/main" count="180" uniqueCount="112">
  <si>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</si>
  <si>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</si>
  <si>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</si>
  <si>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</si>
  <si>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</si>
  <si>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</si>
  <si>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</si>
  <si>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</si>
  <si>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</si>
  <si>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</si>
  <si>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</si>
  <si>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</si>
  <si>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</si>
  <si>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</si>
  <si>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</si>
  <si>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</si>
  <si>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</si>
  <si>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</si>
  <si>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</si>
  <si>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</si>
  <si>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</si>
  <si>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</si>
  <si>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</si>
  <si>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</si>
  <si>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</si>
  <si>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</si>
  <si>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</si>
  <si>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</si>
  <si>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</si>
  <si>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</si>
  <si>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</si>
  <si>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</si>
  <si>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</si>
  <si>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</si>
  <si>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</si>
  <si>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</si>
  <si>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</si>
  <si>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</si>
  <si>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</si>
  <si>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팀 박태준_공통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</si>
  <si>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</si>
  <si>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</si>
  <si>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</si>
  <si>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</si>
  <si>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</si>
  <si>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</si>
  <si>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</si>
  <si>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</si>
  <si>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</si>
  <si>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</si>
  <si>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</si>
  <si>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</si>
  <si>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</si>
  <si>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</si>
  <si>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</si>
  <si>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</si>
  <si>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</si>
  <si>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</si>
  <si>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</si>
  <si>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</si>
  <si>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</si>
  <si>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</si>
  <si>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</si>
  <si>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</si>
  <si>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</si>
  <si>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</si>
  <si>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</si>
  <si>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</si>
  <si>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</si>
  <si>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</si>
  <si>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</si>
  <si>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</si>
  <si>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</si>
  <si>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</si>
  <si>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</si>
  <si>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</si>
  <si>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</si>
  <si>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</si>
  <si>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</si>
  <si>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</si>
  <si>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</si>
  <si>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</si>
  <si>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</si>
  <si>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</si>
  <si>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</si>
  <si>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</si>
  <si>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</si>
  <si>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</si>
  <si>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</si>
  <si>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</si>
  <si>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</si>
  <si>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</si>
  <si>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</si>
  <si>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</si>
  <si>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</si>
  <si>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</si>
  <si>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fra09923</t>
    <phoneticPr fontId="18" type="noConversion"/>
  </si>
  <si>
    <t>chtla12!</t>
    <phoneticPr fontId="18" type="noConversion"/>
  </si>
  <si>
    <t>싸움독학</t>
  </si>
  <si>
    <t>싸움독학</t>
    <phoneticPr fontId="18" type="noConversion"/>
  </si>
  <si>
    <t>더그림_싸움독학</t>
  </si>
  <si>
    <t>김정현</t>
  </si>
  <si>
    <t>박만사</t>
  </si>
  <si>
    <t>전체이용가</t>
  </si>
  <si>
    <t>2024.02.24</t>
  </si>
  <si>
    <t>유상이용권-원스토어</t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</si>
  <si>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</si>
  <si>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</si>
  <si>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</si>
  <si>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- 2025년 7월 [네이버웹툰 파트너십 프로그램]이 시작되어,  '무상 쿠키' 매출로 포함됩니다.(무상이용권 결제수수료율 상이)</t>
    <phoneticPr fontId="18" type="noConversion"/>
  </si>
  <si>
    <t>유상금액보정</t>
  </si>
  <si>
    <t>2026-01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</si>
</sst>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yyyy&quot;-&quot;mm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8"/>
      <color rgb="FFFF0000"/>
      <name val="나눔고딕"/>
      <family val="3"/>
      <charset val="129"/>
    </font>
    <font>
      <sz val="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41" fontId="36" fillId="0" borderId="0" xfId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quotePrefix="1" applyFont="1">
      <alignment vertical="center"/>
    </xf>
    <xf numFmtId="0" fontId="34" fillId="0" borderId="0" xfId="0" applyFont="1">
      <alignment vertical="center"/>
    </xf>
    <xf numFmtId="41" fontId="40" fillId="0" borderId="0" xfId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1" fontId="34" fillId="0" borderId="0" xfId="0" applyNumberFormat="1" applyFont="1">
      <alignment vertical="center"/>
    </xf>
    <xf numFmtId="41" fontId="37" fillId="0" borderId="0" xfId="1" applyFont="1">
      <alignment vertical="center"/>
    </xf>
    <xf numFmtId="0" fontId="37" fillId="0" borderId="0" xfId="0" applyFont="1" applyAlignment="1">
      <alignment horizontal="left" vertical="center" wrapText="1"/>
    </xf>
    <xf numFmtId="49" fontId="37" fillId="0" borderId="0" xfId="0" applyNumberFormat="1" applyFont="1" applyAlignment="1">
      <alignment vertical="center" wrapText="1"/>
    </xf>
    <xf numFmtId="0" fontId="37" fillId="0" borderId="0" xfId="0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9" fontId="0" fillId="0" borderId="0" xfId="2" applyFont="1">
      <alignment vertical="center"/>
    </xf>
    <xf numFmtId="9" fontId="41" fillId="0" borderId="0" xfId="0" applyNumberFormat="1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354011</xdr:colOff>
      <xdr:row>1</xdr:row>
      <xdr:rowOff>21167</xdr:rowOff>
    </xdr:from>
    <xdr:to>
      <xdr:col>25</xdr:col>
      <xdr:colOff>64628</xdr:colOff>
      <xdr:row>19</xdr:row>
      <xdr:rowOff>116417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8937A2-B40F-5A3A-97BA-6B1C354C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7344" y="243417"/>
          <a:ext cx="10024605" cy="4095750"/>
        </a:xfrm>
        <a:prstGeom prst="rect">
          <a:avLst/>
        </a:prstGeom>
      </xdr:spPr>
    </xdr:pic>
    <xdr:clientData/>
  </xdr:twoCellAnchor>
  <xdr:twoCellAnchor editAs="oneCell">
    <xdr:from>
      <xdr:col>10</xdr:col>
      <xdr:colOff>370417</xdr:colOff>
      <xdr:row>20</xdr:row>
      <xdr:rowOff>10583</xdr:rowOff>
    </xdr:from>
    <xdr:to>
      <xdr:col>24</xdr:col>
      <xdr:colOff>684262</xdr:colOff>
      <xdr:row>35</xdr:row>
      <xdr:rowOff>116417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4779EF-D11E-4D48-64B0-D81E6683B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3750" y="4455583"/>
          <a:ext cx="9939916" cy="3439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345121</xdr:colOff>
      <xdr:row>21</xdr:row>
      <xdr:rowOff>190499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EAC129-6B5D-5CFF-E9FF-CBA364BB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88921" cy="4791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A442-478B-49BF-A44B-09338DC0ED71}">
  <sheetPr>
    <tabColor theme="0" tint="-0.249977111117893"/>
  </sheetPr>
  <dimension ref="A1:J44"/>
  <sheetViews>
    <sheetView showGridLines="0" tabSelected="1" zoomScale="90" zoomScaleNormal="90" workbookViewId="0">
      <selection activeCell="F23" sqref="F23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3" width="10.0625" style="12" customWidth="1"/>
    <col min="4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8.6875" bestFit="1" customWidth="1"/>
  </cols>
  <sheetData>
    <row r="1" spans="1:10" x14ac:dyDescent="0.6">
      <c r="A1" s="7" t="s">
        <v>95</v>
      </c>
    </row>
    <row r="3" spans="1:10" x14ac:dyDescent="0.6">
      <c r="A3" s="17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27" t="s">
        <v>73</v>
      </c>
      <c r="G3" s="27" t="s">
        <v>74</v>
      </c>
      <c r="H3" s="27" t="s">
        <v>75</v>
      </c>
      <c r="I3" s="18" t="s">
        <v>76</v>
      </c>
    </row>
    <row r="4" spans="1:10" x14ac:dyDescent="0.6">
      <c r="A4" s="9" t="s">
        <v>81</v>
      </c>
      <c r="B4" s="13">
        <v>2249355</v>
      </c>
      <c r="C4" s="13">
        <v>0</v>
      </c>
      <c r="D4" s="13">
        <v>189040</v>
      </c>
      <c r="E4" s="13">
        <v>2060315</v>
      </c>
      <c r="F4" s="28">
        <v>1442221</v>
      </c>
      <c r="G4" s="28">
        <v>0</v>
      </c>
      <c r="H4" s="28">
        <v>1442221</v>
      </c>
      <c r="I4" s="13">
        <v>618094</v>
      </c>
      <c r="J4" s="79">
        <f>D4/B4</f>
        <v>8.404186978044817E-2</v>
      </c>
    </row>
    <row r="5" spans="1:10" x14ac:dyDescent="0.6">
      <c r="A5" s="9" t="s">
        <v>80</v>
      </c>
      <c r="B5" s="13">
        <v>287900</v>
      </c>
      <c r="C5" s="13">
        <v>0</v>
      </c>
      <c r="D5" s="13">
        <v>43185</v>
      </c>
      <c r="E5" s="13">
        <v>244715</v>
      </c>
      <c r="F5" s="28">
        <v>171301</v>
      </c>
      <c r="G5" s="28">
        <v>0</v>
      </c>
      <c r="H5" s="28">
        <v>171301</v>
      </c>
      <c r="I5" s="13">
        <v>73414</v>
      </c>
      <c r="J5" s="79">
        <f t="shared" ref="J5:J19" si="0">D5/B5</f>
        <v>0.15</v>
      </c>
    </row>
    <row r="6" spans="1:10" x14ac:dyDescent="0.6">
      <c r="A6" s="9" t="s">
        <v>105</v>
      </c>
      <c r="B6" s="13">
        <v>25440</v>
      </c>
      <c r="C6" s="13">
        <v>0</v>
      </c>
      <c r="D6" s="13">
        <v>2544</v>
      </c>
      <c r="E6" s="13">
        <v>22896</v>
      </c>
      <c r="F6" s="28">
        <v>16027</v>
      </c>
      <c r="G6" s="28">
        <v>0</v>
      </c>
      <c r="H6" s="28">
        <v>16027</v>
      </c>
      <c r="I6" s="13">
        <v>6869</v>
      </c>
      <c r="J6" s="79">
        <f t="shared" si="0"/>
        <v>0.1</v>
      </c>
    </row>
    <row r="7" spans="1:10" x14ac:dyDescent="0.6">
      <c r="A7" s="9" t="s">
        <v>110</v>
      </c>
      <c r="B7" s="13">
        <v>300</v>
      </c>
      <c r="C7" s="13">
        <v>0</v>
      </c>
      <c r="D7" s="13">
        <v>30</v>
      </c>
      <c r="E7" s="13">
        <v>270</v>
      </c>
      <c r="F7" s="28">
        <v>189</v>
      </c>
      <c r="G7" s="28">
        <v>0</v>
      </c>
      <c r="H7" s="28">
        <v>189</v>
      </c>
      <c r="I7" s="13">
        <v>81</v>
      </c>
      <c r="J7" s="79">
        <f t="shared" si="0"/>
        <v>0.1</v>
      </c>
    </row>
    <row r="8" spans="1:10" x14ac:dyDescent="0.6">
      <c r="A8" s="9" t="s">
        <v>78</v>
      </c>
      <c r="B8" s="13">
        <v>2692400</v>
      </c>
      <c r="C8" s="13">
        <v>0</v>
      </c>
      <c r="D8" s="13">
        <v>269240</v>
      </c>
      <c r="E8" s="13">
        <v>2423160</v>
      </c>
      <c r="F8" s="28">
        <v>1696212</v>
      </c>
      <c r="G8" s="28">
        <v>0</v>
      </c>
      <c r="H8" s="28">
        <v>1696212</v>
      </c>
      <c r="I8" s="13">
        <v>726948</v>
      </c>
      <c r="J8" s="79">
        <f t="shared" si="0"/>
        <v>0.1</v>
      </c>
    </row>
    <row r="9" spans="1:10" x14ac:dyDescent="0.6">
      <c r="A9" s="9" t="s">
        <v>77</v>
      </c>
      <c r="B9" s="13">
        <v>5983497</v>
      </c>
      <c r="C9" s="13">
        <v>0</v>
      </c>
      <c r="D9" s="13">
        <v>1795049</v>
      </c>
      <c r="E9" s="13">
        <v>4188448</v>
      </c>
      <c r="F9" s="28">
        <v>2931914</v>
      </c>
      <c r="G9" s="28">
        <v>0</v>
      </c>
      <c r="H9" s="28">
        <v>2931914</v>
      </c>
      <c r="I9" s="13">
        <v>1256534</v>
      </c>
      <c r="J9" s="79">
        <f t="shared" si="0"/>
        <v>0.29999998328736521</v>
      </c>
    </row>
    <row r="10" spans="1:10" x14ac:dyDescent="0.6">
      <c r="A10" s="9" t="s">
        <v>79</v>
      </c>
      <c r="B10" s="13">
        <v>4989295</v>
      </c>
      <c r="C10" s="13">
        <v>0</v>
      </c>
      <c r="D10" s="13">
        <v>498929</v>
      </c>
      <c r="E10" s="13">
        <v>4490366</v>
      </c>
      <c r="F10" s="28">
        <v>3143256</v>
      </c>
      <c r="G10" s="28">
        <v>0</v>
      </c>
      <c r="H10" s="28">
        <v>3143256</v>
      </c>
      <c r="I10" s="13">
        <v>1347110</v>
      </c>
      <c r="J10" s="79">
        <f t="shared" si="0"/>
        <v>9.9999899785440632E-2</v>
      </c>
    </row>
    <row r="11" spans="1:10" x14ac:dyDescent="0.6">
      <c r="A11" s="9" t="s">
        <v>82</v>
      </c>
      <c r="B11" s="13">
        <v>2406960</v>
      </c>
      <c r="C11" s="13">
        <v>0</v>
      </c>
      <c r="D11" s="13">
        <v>240696</v>
      </c>
      <c r="E11" s="13">
        <v>2166264</v>
      </c>
      <c r="F11" s="28">
        <v>1516385</v>
      </c>
      <c r="G11" s="28">
        <v>0</v>
      </c>
      <c r="H11" s="28">
        <v>1516385</v>
      </c>
      <c r="I11" s="13">
        <v>649879</v>
      </c>
      <c r="J11" s="79">
        <f t="shared" si="0"/>
        <v>0.1</v>
      </c>
    </row>
    <row r="12" spans="1:10" x14ac:dyDescent="0.6">
      <c r="A12" s="11" t="s">
        <v>27</v>
      </c>
      <c r="B12" s="14">
        <v>18635147</v>
      </c>
      <c r="C12" s="14">
        <v>0</v>
      </c>
      <c r="D12" s="14">
        <v>3038713</v>
      </c>
      <c r="E12" s="14">
        <v>15596434</v>
      </c>
      <c r="F12" s="29">
        <v>10917505</v>
      </c>
      <c r="G12" s="29">
        <v>0</v>
      </c>
      <c r="H12" s="29">
        <v>10917505</v>
      </c>
      <c r="I12" s="14">
        <v>4678929</v>
      </c>
      <c r="J12" s="79"/>
    </row>
    <row r="13" spans="1:10" x14ac:dyDescent="0.6">
      <c r="F13" s="30"/>
      <c r="G13" s="30"/>
      <c r="H13" s="30"/>
      <c r="J13" s="79"/>
    </row>
    <row r="14" spans="1:10" x14ac:dyDescent="0.6">
      <c r="A14" s="19" t="s">
        <v>68</v>
      </c>
      <c r="B14" s="20" t="s">
        <v>69</v>
      </c>
      <c r="C14" s="20" t="s">
        <v>70</v>
      </c>
      <c r="D14" s="20" t="s">
        <v>71</v>
      </c>
      <c r="E14" s="20" t="s">
        <v>72</v>
      </c>
      <c r="F14" s="31" t="s">
        <v>73</v>
      </c>
      <c r="G14" s="31" t="s">
        <v>74</v>
      </c>
      <c r="H14" s="31" t="s">
        <v>75</v>
      </c>
      <c r="I14" s="18" t="s">
        <v>76</v>
      </c>
      <c r="J14" s="79"/>
    </row>
    <row r="15" spans="1:10" x14ac:dyDescent="0.6">
      <c r="A15" s="8" t="s">
        <v>82</v>
      </c>
      <c r="B15" s="15">
        <v>3360</v>
      </c>
      <c r="C15" s="15">
        <v>0</v>
      </c>
      <c r="D15" s="15">
        <v>336</v>
      </c>
      <c r="E15" s="15">
        <v>3024</v>
      </c>
      <c r="F15" s="32">
        <v>2117</v>
      </c>
      <c r="G15" s="32">
        <v>0</v>
      </c>
      <c r="H15" s="32">
        <v>2117</v>
      </c>
      <c r="I15" s="15">
        <v>907</v>
      </c>
      <c r="J15" s="79">
        <f t="shared" si="0"/>
        <v>0.1</v>
      </c>
    </row>
    <row r="16" spans="1:10" x14ac:dyDescent="0.6">
      <c r="A16" s="8" t="s">
        <v>81</v>
      </c>
      <c r="B16" s="15">
        <v>8335</v>
      </c>
      <c r="C16" s="15">
        <v>0</v>
      </c>
      <c r="D16" s="15">
        <v>570</v>
      </c>
      <c r="E16" s="15">
        <v>7765</v>
      </c>
      <c r="F16" s="32">
        <v>5436</v>
      </c>
      <c r="G16" s="32">
        <v>0</v>
      </c>
      <c r="H16" s="32">
        <v>5436</v>
      </c>
      <c r="I16" s="15">
        <v>2329</v>
      </c>
      <c r="J16" s="79">
        <f t="shared" si="0"/>
        <v>6.8386322735452906E-2</v>
      </c>
    </row>
    <row r="17" spans="1:10" x14ac:dyDescent="0.6">
      <c r="A17" s="8" t="s">
        <v>78</v>
      </c>
      <c r="B17" s="15">
        <v>387740</v>
      </c>
      <c r="C17" s="15">
        <v>0</v>
      </c>
      <c r="D17" s="15">
        <v>38774</v>
      </c>
      <c r="E17" s="15">
        <v>348966</v>
      </c>
      <c r="F17" s="32">
        <v>244276</v>
      </c>
      <c r="G17" s="32">
        <v>0</v>
      </c>
      <c r="H17" s="32">
        <v>244276</v>
      </c>
      <c r="I17" s="15">
        <v>104690</v>
      </c>
      <c r="J17" s="79">
        <f t="shared" si="0"/>
        <v>0.1</v>
      </c>
    </row>
    <row r="18" spans="1:10" x14ac:dyDescent="0.6">
      <c r="A18" s="8" t="s">
        <v>77</v>
      </c>
      <c r="B18" s="15">
        <v>3840</v>
      </c>
      <c r="C18" s="15">
        <v>0</v>
      </c>
      <c r="D18" s="15">
        <v>1152</v>
      </c>
      <c r="E18" s="15">
        <v>2688</v>
      </c>
      <c r="F18" s="32">
        <v>1882</v>
      </c>
      <c r="G18" s="32">
        <v>0</v>
      </c>
      <c r="H18" s="32">
        <v>1882</v>
      </c>
      <c r="I18" s="15">
        <v>806</v>
      </c>
      <c r="J18" s="79">
        <f t="shared" si="0"/>
        <v>0.3</v>
      </c>
    </row>
    <row r="19" spans="1:10" x14ac:dyDescent="0.6">
      <c r="A19" s="8" t="s">
        <v>79</v>
      </c>
      <c r="B19" s="15">
        <v>115200</v>
      </c>
      <c r="C19" s="15">
        <v>0</v>
      </c>
      <c r="D19" s="15">
        <v>11520</v>
      </c>
      <c r="E19" s="15">
        <v>103680</v>
      </c>
      <c r="F19" s="32">
        <v>72576</v>
      </c>
      <c r="G19" s="32">
        <v>0</v>
      </c>
      <c r="H19" s="32">
        <v>72576</v>
      </c>
      <c r="I19" s="15">
        <v>31104</v>
      </c>
      <c r="J19" s="79">
        <f t="shared" si="0"/>
        <v>0.1</v>
      </c>
    </row>
    <row r="20" spans="1:10" x14ac:dyDescent="0.6">
      <c r="A20" s="10" t="s">
        <v>27</v>
      </c>
      <c r="B20" s="16">
        <v>518475</v>
      </c>
      <c r="C20" s="16">
        <v>0</v>
      </c>
      <c r="D20" s="16">
        <v>52352</v>
      </c>
      <c r="E20" s="16">
        <v>466123</v>
      </c>
      <c r="F20" s="33">
        <v>326287</v>
      </c>
      <c r="G20" s="33">
        <v>0</v>
      </c>
      <c r="H20" s="33">
        <v>326287</v>
      </c>
      <c r="I20" s="16">
        <v>139836</v>
      </c>
      <c r="J20" s="37"/>
    </row>
    <row r="21" spans="1:10" x14ac:dyDescent="0.6">
      <c r="F21" s="30"/>
      <c r="G21" s="30"/>
      <c r="H21" s="30"/>
      <c r="J21" s="36"/>
    </row>
    <row r="22" spans="1:10" x14ac:dyDescent="0.6">
      <c r="F22" s="30"/>
      <c r="G22" s="30"/>
      <c r="H22" s="30"/>
    </row>
    <row r="23" spans="1:10" x14ac:dyDescent="0.6">
      <c r="A23" s="21" t="s">
        <v>83</v>
      </c>
      <c r="B23" s="22">
        <f t="shared" ref="B23:I23" si="1">B12+B20</f>
        <v>19153622</v>
      </c>
      <c r="C23" s="22">
        <f t="shared" si="1"/>
        <v>0</v>
      </c>
      <c r="D23" s="22">
        <f t="shared" si="1"/>
        <v>3091065</v>
      </c>
      <c r="E23" s="22">
        <f t="shared" si="1"/>
        <v>16062557</v>
      </c>
      <c r="F23" s="29">
        <f t="shared" si="1"/>
        <v>11243792</v>
      </c>
      <c r="G23" s="29">
        <f t="shared" si="1"/>
        <v>0</v>
      </c>
      <c r="H23" s="29">
        <f t="shared" si="1"/>
        <v>11243792</v>
      </c>
      <c r="I23" s="22">
        <f t="shared" si="1"/>
        <v>4818765</v>
      </c>
    </row>
    <row r="25" spans="1:10" x14ac:dyDescent="0.6">
      <c r="B25" s="26" t="b">
        <f>B23='컨텐츠별 매출 통계'!CA7</f>
        <v>1</v>
      </c>
      <c r="C25" s="26"/>
      <c r="D25" s="26" t="b">
        <f>D23='컨텐츠별 매출 통계'!CB7</f>
        <v>1</v>
      </c>
      <c r="E25" s="26" t="b">
        <f>E23='컨텐츠별 매출 통계'!CC7</f>
        <v>1</v>
      </c>
      <c r="F25" s="26" t="b">
        <f>F23='컨텐츠별 매출 통계'!CN7</f>
        <v>1</v>
      </c>
      <c r="G25" s="26" t="b">
        <f>G23='컨텐츠별 매출 통계'!CO7</f>
        <v>1</v>
      </c>
      <c r="H25" s="26" t="b">
        <f>H23='컨텐츠별 매출 통계'!CP7</f>
        <v>1</v>
      </c>
      <c r="I25" s="26"/>
    </row>
    <row r="26" spans="1:10" x14ac:dyDescent="0.6">
      <c r="A26" s="12"/>
    </row>
    <row r="27" spans="1:10" x14ac:dyDescent="0.6">
      <c r="A27" s="12"/>
    </row>
    <row r="28" spans="1:10" x14ac:dyDescent="0.6">
      <c r="A28" s="12"/>
    </row>
    <row r="29" spans="1:10" x14ac:dyDescent="0.6">
      <c r="A29" s="12"/>
    </row>
    <row r="30" spans="1:10" x14ac:dyDescent="0.6">
      <c r="A30" s="12"/>
    </row>
    <row r="31" spans="1:10" x14ac:dyDescent="0.6">
      <c r="A31" s="12"/>
    </row>
    <row r="32" spans="1:10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A41" s="12"/>
    </row>
    <row r="42" spans="1:3" x14ac:dyDescent="0.6">
      <c r="B42"/>
      <c r="C42"/>
    </row>
    <row r="43" spans="1:3" x14ac:dyDescent="0.6">
      <c r="B43"/>
      <c r="C43"/>
    </row>
    <row r="44" spans="1:3" x14ac:dyDescent="0.6">
      <c r="B44"/>
      <c r="C44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D3ED-5745-4AAC-BD67-D92FDD1ACBD4}">
  <sheetPr>
    <tabColor theme="0" tint="-0.249977111117893"/>
  </sheetPr>
  <dimension ref="G27:I29"/>
  <sheetViews>
    <sheetView showGridLines="0" workbookViewId="0">
      <selection activeCell="I29" sqref="I29"/>
    </sheetView>
  </sheetViews>
  <sheetFormatPr defaultRowHeight="16.899999999999999" x14ac:dyDescent="0.6"/>
  <sheetData>
    <row r="27" spans="7:9" x14ac:dyDescent="0.6">
      <c r="G27" s="35" t="s">
        <v>106</v>
      </c>
      <c r="H27" s="35" t="s">
        <v>107</v>
      </c>
      <c r="I27" s="35" t="s">
        <v>108</v>
      </c>
    </row>
    <row r="28" spans="7:9" x14ac:dyDescent="0.6">
      <c r="G28" s="34">
        <v>11243792</v>
      </c>
      <c r="H28" s="34">
        <v>0</v>
      </c>
      <c r="I28" s="34">
        <v>11243792</v>
      </c>
    </row>
    <row r="29" spans="7:9" x14ac:dyDescent="0.6">
      <c r="G29" s="34" t="b">
        <f>G28='1월_정산내역서'!F23</f>
        <v>1</v>
      </c>
      <c r="H29" s="34" t="b">
        <f>H28='1월_정산내역서'!G23</f>
        <v>1</v>
      </c>
      <c r="I29" s="34" t="b">
        <f>I28='1월_정산내역서'!H23</f>
        <v>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V24"/>
  <sheetViews>
    <sheetView showGridLines="0" zoomScale="90" zoomScaleNormal="90" workbookViewId="0">
      <pane ySplit="6" topLeftCell="A7" activePane="bottomLeft" state="frozen"/>
      <selection pane="bottomLeft" activeCell="CC32" sqref="CC32"/>
    </sheetView>
  </sheetViews>
  <sheetFormatPr defaultRowHeight="16.899999999999999" outlineLevelCol="1" x14ac:dyDescent="0.6"/>
  <cols>
    <col min="1" max="1" width="11" style="1" bestFit="1" customWidth="1"/>
    <col min="2" max="2" width="8.125" style="1" customWidth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3.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" style="1" bestFit="1" customWidth="1"/>
    <col min="81" max="82" width="10" style="1" bestFit="1" customWidth="1"/>
    <col min="83" max="83" width="3.75" style="1" bestFit="1" customWidth="1"/>
    <col min="84" max="84" width="7.3125" style="2" bestFit="1" customWidth="1"/>
    <col min="85" max="85" width="13.0625" style="2" bestFit="1" customWidth="1"/>
    <col min="86" max="86" width="16.8125" style="2" bestFit="1" customWidth="1"/>
    <col min="87" max="87" width="10.375" style="2" customWidth="1"/>
    <col min="88" max="88" width="7.5" style="2" hidden="1" customWidth="1"/>
    <col min="89" max="89" width="11.125" style="2" hidden="1" customWidth="1"/>
    <col min="90" max="90" width="9" style="2"/>
    <col min="91" max="91" width="9" style="2" hidden="1" customWidth="1"/>
    <col min="92" max="92" width="10" style="2" bestFit="1" customWidth="1"/>
    <col min="93" max="93" width="7.5" style="2" bestFit="1" customWidth="1"/>
    <col min="94" max="94" width="10" style="2" bestFit="1" customWidth="1"/>
    <col min="95" max="95" width="1.625" style="1" customWidth="1"/>
    <col min="96" max="96" width="31.5" style="1" bestFit="1" customWidth="1"/>
    <col min="97" max="97" width="11" style="1" bestFit="1" customWidth="1"/>
    <col min="98" max="98" width="9.75" style="1" bestFit="1" customWidth="1"/>
    <col min="99" max="99" width="15.125" style="1" bestFit="1" customWidth="1"/>
    <col min="100" max="100" width="9.375" style="1" bestFit="1" customWidth="1"/>
  </cols>
  <sheetData>
    <row r="1" spans="1:100" x14ac:dyDescent="0.6">
      <c r="A1" s="7" t="s">
        <v>64</v>
      </c>
    </row>
    <row r="2" spans="1:100" x14ac:dyDescent="0.6">
      <c r="A2" s="40" t="s">
        <v>109</v>
      </c>
    </row>
    <row r="3" spans="1:100" ht="19.5" customHeight="1" x14ac:dyDescent="0.6">
      <c r="A3" s="57" t="s">
        <v>0</v>
      </c>
      <c r="B3" s="57"/>
      <c r="C3" s="57"/>
      <c r="D3" s="57"/>
    </row>
    <row r="4" spans="1:100" x14ac:dyDescent="0.6">
      <c r="BT4" s="6">
        <v>0.1</v>
      </c>
      <c r="BU4" s="80">
        <v>0.08</v>
      </c>
      <c r="BV4" s="6">
        <v>0.1</v>
      </c>
      <c r="BW4" s="6">
        <v>0.1</v>
      </c>
      <c r="BX4" s="6">
        <v>0.1</v>
      </c>
      <c r="BY4" s="6">
        <v>0.15</v>
      </c>
      <c r="BZ4" s="6">
        <v>0.3</v>
      </c>
      <c r="CA4" s="6"/>
      <c r="CB4" s="5"/>
      <c r="CC4" s="5"/>
      <c r="CD4" s="5">
        <v>0.7</v>
      </c>
    </row>
    <row r="5" spans="1:100" ht="16.5" customHeight="1" x14ac:dyDescent="0.6">
      <c r="A5" s="58" t="s">
        <v>1</v>
      </c>
      <c r="B5" s="58" t="s">
        <v>2</v>
      </c>
      <c r="C5" s="59" t="s">
        <v>3</v>
      </c>
      <c r="D5" s="58" t="s">
        <v>4</v>
      </c>
      <c r="E5" s="58" t="s">
        <v>5</v>
      </c>
      <c r="F5" s="58" t="s">
        <v>6</v>
      </c>
      <c r="G5" s="59" t="s">
        <v>7</v>
      </c>
      <c r="H5" s="59" t="s">
        <v>8</v>
      </c>
      <c r="I5" s="60" t="s">
        <v>9</v>
      </c>
      <c r="J5" s="60"/>
      <c r="K5" s="60"/>
      <c r="L5" s="60"/>
      <c r="M5" s="60"/>
      <c r="N5" s="60"/>
      <c r="O5" s="60"/>
      <c r="P5" s="60"/>
      <c r="Q5" s="60"/>
      <c r="R5" s="61" t="s">
        <v>10</v>
      </c>
      <c r="S5" s="61"/>
      <c r="T5" s="61"/>
      <c r="U5" s="61"/>
      <c r="V5" s="61"/>
      <c r="W5" s="61"/>
      <c r="X5" s="61"/>
      <c r="Y5" s="61"/>
      <c r="Z5" s="61"/>
      <c r="AA5" s="60" t="s">
        <v>11</v>
      </c>
      <c r="AB5" s="60"/>
      <c r="AC5" s="60"/>
      <c r="AD5" s="61" t="s">
        <v>12</v>
      </c>
      <c r="AE5" s="61"/>
      <c r="AF5" s="61"/>
      <c r="AG5" s="60" t="s">
        <v>13</v>
      </c>
      <c r="AH5" s="60"/>
      <c r="AI5" s="60"/>
      <c r="AJ5" s="61" t="s">
        <v>14</v>
      </c>
      <c r="AK5" s="61"/>
      <c r="AL5" s="61"/>
      <c r="AM5" s="60" t="s">
        <v>15</v>
      </c>
      <c r="AN5" s="60"/>
      <c r="AO5" s="60"/>
      <c r="AP5" s="61" t="s">
        <v>16</v>
      </c>
      <c r="AQ5" s="61"/>
      <c r="AR5" s="61"/>
      <c r="AS5" s="60" t="s">
        <v>17</v>
      </c>
      <c r="AT5" s="60"/>
      <c r="AU5" s="60"/>
      <c r="AV5" s="61" t="s">
        <v>18</v>
      </c>
      <c r="AW5" s="61"/>
      <c r="AX5" s="61"/>
      <c r="AY5" s="60" t="s">
        <v>19</v>
      </c>
      <c r="AZ5" s="60"/>
      <c r="BA5" s="60"/>
      <c r="BB5" s="61" t="s">
        <v>20</v>
      </c>
      <c r="BC5" s="61"/>
      <c r="BD5" s="61"/>
      <c r="BE5" s="60" t="s">
        <v>21</v>
      </c>
      <c r="BF5" s="60"/>
      <c r="BG5" s="60"/>
      <c r="BH5" s="61" t="s">
        <v>22</v>
      </c>
      <c r="BI5" s="61"/>
      <c r="BJ5" s="61"/>
      <c r="BK5" s="60" t="s">
        <v>23</v>
      </c>
      <c r="BL5" s="60"/>
      <c r="BM5" s="60"/>
      <c r="BN5" s="61" t="s">
        <v>24</v>
      </c>
      <c r="BO5" s="61"/>
      <c r="BP5" s="61"/>
      <c r="BQ5" s="62" t="s">
        <v>25</v>
      </c>
      <c r="BR5" s="62" t="s">
        <v>26</v>
      </c>
      <c r="BS5" s="62" t="s">
        <v>27</v>
      </c>
      <c r="BT5" s="74" t="s">
        <v>63</v>
      </c>
      <c r="BU5" s="74" t="s">
        <v>62</v>
      </c>
      <c r="BV5" s="74" t="s">
        <v>61</v>
      </c>
      <c r="BW5" s="74" t="s">
        <v>60</v>
      </c>
      <c r="BX5" s="74" t="s">
        <v>59</v>
      </c>
      <c r="BY5" s="74" t="s">
        <v>58</v>
      </c>
      <c r="BZ5" s="74" t="s">
        <v>57</v>
      </c>
      <c r="CA5" s="74" t="s">
        <v>56</v>
      </c>
      <c r="CB5" s="74" t="s">
        <v>55</v>
      </c>
      <c r="CC5" s="77" t="s">
        <v>41</v>
      </c>
      <c r="CD5" s="65" t="s">
        <v>54</v>
      </c>
      <c r="CF5" s="67" t="s">
        <v>53</v>
      </c>
      <c r="CG5" s="69" t="s">
        <v>52</v>
      </c>
      <c r="CH5" s="69" t="s">
        <v>51</v>
      </c>
      <c r="CI5" s="71" t="s">
        <v>50</v>
      </c>
      <c r="CJ5" s="71" t="s">
        <v>49</v>
      </c>
      <c r="CK5" s="71" t="s">
        <v>27</v>
      </c>
      <c r="CL5" s="75" t="s">
        <v>48</v>
      </c>
      <c r="CM5" s="63" t="s">
        <v>47</v>
      </c>
      <c r="CN5" s="65" t="s">
        <v>65</v>
      </c>
      <c r="CO5" s="65" t="s">
        <v>66</v>
      </c>
      <c r="CP5" s="65" t="s">
        <v>67</v>
      </c>
      <c r="CR5" s="73" t="s">
        <v>46</v>
      </c>
      <c r="CS5" s="73" t="s">
        <v>45</v>
      </c>
      <c r="CT5" s="73" t="s">
        <v>44</v>
      </c>
      <c r="CU5" s="73" t="s">
        <v>43</v>
      </c>
      <c r="CV5" s="73" t="s">
        <v>42</v>
      </c>
    </row>
    <row r="6" spans="1:100" ht="27" customHeight="1" x14ac:dyDescent="0.6">
      <c r="A6" s="58"/>
      <c r="B6" s="58"/>
      <c r="C6" s="59"/>
      <c r="D6" s="58"/>
      <c r="E6" s="58"/>
      <c r="F6" s="58"/>
      <c r="G6" s="59"/>
      <c r="H6" s="59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62"/>
      <c r="BR6" s="62"/>
      <c r="BS6" s="62"/>
      <c r="BT6" s="74"/>
      <c r="BU6" s="74"/>
      <c r="BV6" s="74"/>
      <c r="BW6" s="74"/>
      <c r="BX6" s="74"/>
      <c r="BY6" s="74"/>
      <c r="BZ6" s="74"/>
      <c r="CA6" s="74"/>
      <c r="CB6" s="74"/>
      <c r="CC6" s="77" t="s">
        <v>41</v>
      </c>
      <c r="CD6" s="66"/>
      <c r="CF6" s="68"/>
      <c r="CG6" s="70"/>
      <c r="CH6" s="70"/>
      <c r="CI6" s="72"/>
      <c r="CJ6" s="72"/>
      <c r="CK6" s="72"/>
      <c r="CL6" s="76"/>
      <c r="CM6" s="64"/>
      <c r="CN6" s="66"/>
      <c r="CO6" s="66"/>
      <c r="CP6" s="66"/>
      <c r="CR6" s="73"/>
      <c r="CS6" s="73"/>
      <c r="CT6" s="73"/>
      <c r="CU6" s="73"/>
      <c r="CV6" s="73"/>
    </row>
    <row r="7" spans="1:100" s="41" customFormat="1" ht="13.15" x14ac:dyDescent="0.6">
      <c r="A7" s="51" t="s">
        <v>98</v>
      </c>
      <c r="B7" s="51">
        <v>381824</v>
      </c>
      <c r="C7" s="52"/>
      <c r="D7" s="51" t="s">
        <v>100</v>
      </c>
      <c r="E7" s="51" t="s">
        <v>101</v>
      </c>
      <c r="F7" s="51" t="s">
        <v>102</v>
      </c>
      <c r="G7" s="53" t="s">
        <v>103</v>
      </c>
      <c r="H7" s="53" t="s">
        <v>104</v>
      </c>
      <c r="I7" s="53">
        <v>0</v>
      </c>
      <c r="J7" s="54">
        <v>391800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53">
        <v>0</v>
      </c>
      <c r="T7" s="53">
        <v>0</v>
      </c>
      <c r="U7" s="53">
        <v>0</v>
      </c>
      <c r="V7" s="53">
        <v>0</v>
      </c>
      <c r="W7" s="53">
        <v>0</v>
      </c>
      <c r="X7" s="53">
        <v>0</v>
      </c>
      <c r="Y7" s="53">
        <v>0</v>
      </c>
      <c r="Z7" s="53">
        <v>0</v>
      </c>
      <c r="AA7" s="54">
        <v>11211</v>
      </c>
      <c r="AB7" s="54">
        <v>1780340</v>
      </c>
      <c r="AC7" s="54">
        <v>1463400</v>
      </c>
      <c r="AD7" s="53">
        <v>795</v>
      </c>
      <c r="AE7" s="54">
        <v>594700</v>
      </c>
      <c r="AF7" s="54">
        <v>187890</v>
      </c>
      <c r="AG7" s="54">
        <v>17615</v>
      </c>
      <c r="AH7" s="54">
        <v>5680137</v>
      </c>
      <c r="AI7" s="54">
        <v>524800</v>
      </c>
      <c r="AJ7" s="53">
        <v>400</v>
      </c>
      <c r="AK7" s="54">
        <v>307200</v>
      </c>
      <c r="AL7" s="54">
        <v>46000</v>
      </c>
      <c r="AM7" s="54">
        <v>1855</v>
      </c>
      <c r="AN7" s="54">
        <v>542100</v>
      </c>
      <c r="AO7" s="54">
        <v>12200</v>
      </c>
      <c r="AP7" s="53">
        <v>216</v>
      </c>
      <c r="AQ7" s="54">
        <v>163300</v>
      </c>
      <c r="AR7" s="54">
        <v>9200</v>
      </c>
      <c r="AS7" s="54">
        <v>12659</v>
      </c>
      <c r="AT7" s="54">
        <v>4490955</v>
      </c>
      <c r="AU7" s="54">
        <v>8300</v>
      </c>
      <c r="AV7" s="53">
        <v>205</v>
      </c>
      <c r="AW7" s="54">
        <v>613540</v>
      </c>
      <c r="AX7" s="53">
        <v>0</v>
      </c>
      <c r="AY7" s="54">
        <v>6118</v>
      </c>
      <c r="AZ7" s="54">
        <v>2176320</v>
      </c>
      <c r="BA7" s="54">
        <v>5900</v>
      </c>
      <c r="BB7" s="53">
        <v>26</v>
      </c>
      <c r="BC7" s="54">
        <v>234000</v>
      </c>
      <c r="BD7" s="53">
        <v>0</v>
      </c>
      <c r="BE7" s="53">
        <v>72</v>
      </c>
      <c r="BF7" s="54">
        <v>25440</v>
      </c>
      <c r="BG7" s="53">
        <v>0</v>
      </c>
      <c r="BH7" s="53">
        <v>0</v>
      </c>
      <c r="BI7" s="53">
        <v>0</v>
      </c>
      <c r="BJ7" s="53">
        <v>0</v>
      </c>
      <c r="BK7" s="53">
        <v>797</v>
      </c>
      <c r="BL7" s="54">
        <v>237100</v>
      </c>
      <c r="BM7" s="53">
        <v>0</v>
      </c>
      <c r="BN7" s="53">
        <v>14</v>
      </c>
      <c r="BO7" s="54">
        <v>50800</v>
      </c>
      <c r="BP7" s="53">
        <v>0</v>
      </c>
      <c r="BQ7" s="53">
        <v>300</v>
      </c>
      <c r="BR7" s="55">
        <v>2661203.7999999998</v>
      </c>
      <c r="BS7" s="56">
        <v>19153622</v>
      </c>
      <c r="BT7" s="42">
        <f t="shared" ref="BT7" si="0">BF7+BI7</f>
        <v>25440</v>
      </c>
      <c r="BU7" s="42">
        <f t="shared" ref="BU7" si="1">AC7+AF7+AI7+AL7+AO7+AR7+AU7+AX7+BA7+BD7+BG7+BJ7+BM7+BP7</f>
        <v>2257690</v>
      </c>
      <c r="BV7" s="42">
        <f t="shared" ref="BV7" si="2">AQ7+AN7+AB7+AE7</f>
        <v>3080440</v>
      </c>
      <c r="BW7" s="42">
        <f t="shared" ref="BW7" si="3">AT7+AW7</f>
        <v>5104495</v>
      </c>
      <c r="BX7" s="42">
        <f t="shared" ref="BX7" si="4">BC7+AZ7</f>
        <v>2410320</v>
      </c>
      <c r="BY7" s="42">
        <f t="shared" ref="BY7" si="5">BL7+BO7</f>
        <v>287900</v>
      </c>
      <c r="BZ7" s="42">
        <f t="shared" ref="BZ7" si="6">AH7+AK7</f>
        <v>5987337</v>
      </c>
      <c r="CA7" s="42">
        <f t="shared" ref="CA7" si="7">SUM(BT7:BZ7)</f>
        <v>19153622</v>
      </c>
      <c r="CB7" s="43">
        <f>ROUND(((BT7*$BT$4)+(BU7*$BU$4)+(BV7*$BV$4)+(BW7*$BW$4)+(BX7*$BX$4)+(BY7*$BY$4)+(BZ7*$BZ$4)),0)+8994</f>
        <v>3091065</v>
      </c>
      <c r="CC7" s="42">
        <f t="shared" ref="CC7" si="8">CA7-CB7</f>
        <v>16062557</v>
      </c>
      <c r="CD7" s="44">
        <f t="shared" ref="CD7" si="9">ROUND(CC7*$CD$4,0)</f>
        <v>11243790</v>
      </c>
      <c r="CF7" s="45" t="s">
        <v>111</v>
      </c>
      <c r="CG7" s="45" t="str">
        <f t="shared" ref="CG7" si="10">CF7</f>
        <v>2026-01</v>
      </c>
      <c r="CH7" s="46" t="s">
        <v>99</v>
      </c>
      <c r="CI7" s="46">
        <f t="shared" ref="CI7" si="11">CD7</f>
        <v>11243790</v>
      </c>
      <c r="CJ7" s="46">
        <v>0</v>
      </c>
      <c r="CK7" s="46">
        <f t="shared" ref="CK7" si="12">CI7+CJ7</f>
        <v>11243790</v>
      </c>
      <c r="CL7" s="46">
        <v>2</v>
      </c>
      <c r="CM7" s="46"/>
      <c r="CN7" s="46">
        <f t="shared" ref="CN7" si="13">CI7+CL7</f>
        <v>11243792</v>
      </c>
      <c r="CO7" s="46">
        <f t="shared" ref="CO7" si="14">CJ7+CM7</f>
        <v>0</v>
      </c>
      <c r="CP7" s="46">
        <f t="shared" ref="CP7" si="15">CN7+CO7</f>
        <v>11243792</v>
      </c>
      <c r="CR7" s="47" t="str">
        <f t="shared" ref="CR7" si="16">CF7&amp;"월국내유상이용권_웹툰&lt;"&amp;CH7&amp;"&gt;"</f>
        <v>2026-01월국내유상이용권_웹툰&lt;싸움독학&gt;</v>
      </c>
      <c r="CS7" s="47" t="s">
        <v>39</v>
      </c>
      <c r="CT7" s="47" t="s">
        <v>98</v>
      </c>
      <c r="CU7" s="47" t="s">
        <v>40</v>
      </c>
      <c r="CV7" s="48">
        <f t="shared" ref="CV7" si="17">CN7</f>
        <v>11243792</v>
      </c>
    </row>
    <row r="8" spans="1:100" s="41" customFormat="1" ht="13.15" x14ac:dyDescent="0.6">
      <c r="A8" s="38"/>
      <c r="B8" s="38"/>
      <c r="C8" s="38"/>
      <c r="D8" s="38"/>
      <c r="E8" s="38"/>
      <c r="F8" s="38"/>
      <c r="G8" s="38"/>
      <c r="H8" s="38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38"/>
      <c r="CO8" s="39"/>
      <c r="CP8" s="39"/>
      <c r="CQ8" s="38"/>
      <c r="CR8" s="38"/>
      <c r="CS8" s="38"/>
      <c r="CT8" s="38"/>
      <c r="CU8" s="38"/>
      <c r="CV8" s="38"/>
    </row>
    <row r="9" spans="1:100" s="41" customFormat="1" ht="13.15" x14ac:dyDescent="0.6">
      <c r="A9" s="38"/>
      <c r="B9" s="38"/>
      <c r="C9" s="38"/>
      <c r="D9" s="38"/>
      <c r="E9" s="38"/>
      <c r="F9" s="38"/>
      <c r="G9" s="38"/>
      <c r="H9" s="38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38"/>
      <c r="CB9" s="49"/>
      <c r="CO9" s="39"/>
      <c r="CP9" s="39"/>
      <c r="CQ9" s="38"/>
      <c r="CR9" s="38"/>
      <c r="CS9" s="38"/>
      <c r="CT9" s="38"/>
      <c r="CU9" s="38"/>
      <c r="CV9" s="38"/>
    </row>
    <row r="10" spans="1:100" s="41" customFormat="1" ht="13.15" x14ac:dyDescent="0.6">
      <c r="A10" s="38"/>
      <c r="B10" s="38"/>
      <c r="C10" s="38"/>
      <c r="D10" s="38"/>
      <c r="E10" s="38"/>
      <c r="F10" s="38"/>
      <c r="G10" s="38"/>
      <c r="H10" s="38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38"/>
      <c r="CO10" s="39"/>
      <c r="CP10" s="39"/>
      <c r="CQ10" s="38"/>
      <c r="CR10" s="38"/>
      <c r="CS10" s="38"/>
      <c r="CT10" s="38"/>
      <c r="CU10" s="38"/>
      <c r="CV10" s="38"/>
    </row>
    <row r="11" spans="1:100" s="41" customFormat="1" ht="13.15" x14ac:dyDescent="0.6">
      <c r="A11" s="38"/>
      <c r="B11" s="38"/>
      <c r="C11" s="38"/>
      <c r="D11" s="38"/>
      <c r="E11" s="38"/>
      <c r="F11" s="38"/>
      <c r="G11" s="38"/>
      <c r="H11" s="38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38"/>
      <c r="CB11" s="49"/>
      <c r="CO11" s="39"/>
      <c r="CP11" s="39"/>
      <c r="CQ11" s="38"/>
      <c r="CR11" s="38"/>
      <c r="CS11" s="38"/>
      <c r="CT11" s="38"/>
      <c r="CU11" s="38"/>
      <c r="CV11" s="38"/>
    </row>
    <row r="12" spans="1:100" s="41" customFormat="1" ht="13.15" x14ac:dyDescent="0.6">
      <c r="A12" s="38"/>
      <c r="B12" s="38"/>
      <c r="C12" s="38"/>
      <c r="D12" s="38"/>
      <c r="E12" s="38"/>
      <c r="F12" s="38"/>
      <c r="G12" s="38"/>
      <c r="H12" s="38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38"/>
      <c r="CO12" s="39"/>
      <c r="CP12" s="39"/>
      <c r="CQ12" s="38"/>
      <c r="CR12" s="38"/>
      <c r="CS12" s="38"/>
      <c r="CT12" s="38"/>
      <c r="CU12" s="38"/>
      <c r="CV12" s="38"/>
    </row>
    <row r="13" spans="1:100" s="41" customFormat="1" ht="13.15" x14ac:dyDescent="0.6">
      <c r="A13" s="38"/>
      <c r="B13" s="38"/>
      <c r="C13" s="38"/>
      <c r="D13" s="38"/>
      <c r="E13" s="38"/>
      <c r="F13" s="38"/>
      <c r="G13" s="38"/>
      <c r="H13" s="38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38"/>
      <c r="CO13" s="39"/>
      <c r="CP13" s="39"/>
      <c r="CQ13" s="38"/>
      <c r="CR13" s="38"/>
      <c r="CS13" s="38"/>
      <c r="CT13" s="38"/>
      <c r="CU13" s="38"/>
      <c r="CV13" s="38"/>
    </row>
    <row r="14" spans="1:100" s="41" customFormat="1" ht="13.15" x14ac:dyDescent="0.6">
      <c r="A14" s="38"/>
      <c r="B14" s="38"/>
      <c r="C14" s="38"/>
      <c r="D14" s="38"/>
      <c r="E14" s="38"/>
      <c r="F14" s="38"/>
      <c r="G14" s="38"/>
      <c r="H14" s="38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38"/>
      <c r="CO14" s="39"/>
      <c r="CP14" s="39"/>
      <c r="CQ14" s="38"/>
      <c r="CR14" s="38"/>
      <c r="CS14" s="38"/>
      <c r="CT14" s="38"/>
      <c r="CU14" s="38"/>
      <c r="CV14" s="38"/>
    </row>
    <row r="15" spans="1:100" s="41" customFormat="1" ht="13.15" x14ac:dyDescent="0.6">
      <c r="A15" s="38"/>
      <c r="B15" s="38"/>
      <c r="C15" s="38"/>
      <c r="D15" s="38"/>
      <c r="E15" s="38"/>
      <c r="F15" s="38"/>
      <c r="G15" s="38"/>
      <c r="H15" s="38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38"/>
      <c r="CO15" s="39"/>
      <c r="CP15" s="39"/>
      <c r="CQ15" s="38"/>
      <c r="CR15" s="38"/>
      <c r="CS15" s="38"/>
      <c r="CT15" s="38"/>
      <c r="CU15" s="38"/>
      <c r="CV15" s="38"/>
    </row>
    <row r="16" spans="1:100" s="41" customFormat="1" ht="13.15" x14ac:dyDescent="0.6">
      <c r="A16" s="38"/>
      <c r="B16" s="38"/>
      <c r="C16" s="38"/>
      <c r="D16" s="38"/>
      <c r="E16" s="38"/>
      <c r="F16" s="38"/>
      <c r="G16" s="38"/>
      <c r="H16" s="38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38"/>
      <c r="CO16" s="39"/>
      <c r="CP16" s="39"/>
      <c r="CQ16" s="38"/>
      <c r="CR16" s="38"/>
      <c r="CS16" s="38"/>
      <c r="CT16" s="38"/>
      <c r="CU16" s="38"/>
      <c r="CV16" s="38"/>
    </row>
    <row r="17" spans="1:100" s="41" customFormat="1" ht="13.15" x14ac:dyDescent="0.6">
      <c r="A17" s="38"/>
      <c r="B17" s="38"/>
      <c r="C17" s="38"/>
      <c r="D17" s="38"/>
      <c r="E17" s="38"/>
      <c r="F17" s="38"/>
      <c r="G17" s="38"/>
      <c r="H17" s="38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38"/>
      <c r="CO17" s="39"/>
      <c r="CP17" s="39"/>
      <c r="CQ17" s="38"/>
      <c r="CR17" s="38"/>
      <c r="CS17" s="38"/>
      <c r="CT17" s="38"/>
      <c r="CU17" s="38"/>
      <c r="CV17" s="38"/>
    </row>
    <row r="18" spans="1:100" s="41" customFormat="1" ht="13.15" x14ac:dyDescent="0.6">
      <c r="A18" s="38"/>
      <c r="B18" s="38"/>
      <c r="C18" s="38"/>
      <c r="D18" s="38"/>
      <c r="E18" s="38"/>
      <c r="F18" s="38"/>
      <c r="G18" s="38"/>
      <c r="H18" s="38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38"/>
      <c r="CO18" s="39"/>
      <c r="CP18" s="39"/>
      <c r="CQ18" s="38"/>
      <c r="CR18" s="38"/>
      <c r="CS18" s="38"/>
      <c r="CT18" s="38"/>
      <c r="CU18" s="38"/>
      <c r="CV18" s="38"/>
    </row>
    <row r="19" spans="1:100" s="41" customFormat="1" ht="13.15" x14ac:dyDescent="0.6">
      <c r="A19" s="38"/>
      <c r="B19" s="38"/>
      <c r="C19" s="38"/>
      <c r="D19" s="38"/>
      <c r="E19" s="38"/>
      <c r="F19" s="38"/>
      <c r="G19" s="38"/>
      <c r="H19" s="38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38"/>
      <c r="CO19" s="39"/>
      <c r="CP19" s="39"/>
      <c r="CQ19" s="38"/>
      <c r="CR19" s="38"/>
      <c r="CS19" s="38"/>
      <c r="CT19" s="38"/>
      <c r="CU19" s="38"/>
      <c r="CV19" s="38"/>
    </row>
    <row r="20" spans="1:100" x14ac:dyDescent="0.6"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spans="1:100" x14ac:dyDescent="0.6"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</row>
    <row r="22" spans="1:100" x14ac:dyDescent="0.6"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spans="1:100" x14ac:dyDescent="0.6">
      <c r="CF23"/>
      <c r="CG23"/>
      <c r="CH23"/>
    </row>
    <row r="24" spans="1:100" x14ac:dyDescent="0.6">
      <c r="CF24"/>
      <c r="CG24"/>
      <c r="CH24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78" t="s">
        <v>84</v>
      </c>
      <c r="C3" s="78"/>
      <c r="D3" s="78"/>
      <c r="E3" s="78"/>
      <c r="F3" s="78"/>
      <c r="G3" s="78"/>
    </row>
    <row r="4" spans="2:7" x14ac:dyDescent="0.6">
      <c r="B4" s="23" t="s">
        <v>85</v>
      </c>
      <c r="C4" s="23" t="s">
        <v>86</v>
      </c>
      <c r="D4" s="23" t="s">
        <v>87</v>
      </c>
      <c r="E4" s="23" t="s">
        <v>91</v>
      </c>
      <c r="F4" s="23" t="s">
        <v>93</v>
      </c>
      <c r="G4" s="23" t="s">
        <v>88</v>
      </c>
    </row>
    <row r="5" spans="2:7" x14ac:dyDescent="0.6">
      <c r="B5" s="24" t="s">
        <v>96</v>
      </c>
      <c r="C5" s="24" t="s">
        <v>97</v>
      </c>
      <c r="D5" s="25" t="s">
        <v>89</v>
      </c>
      <c r="E5" s="24" t="s">
        <v>92</v>
      </c>
      <c r="F5" s="24" t="s">
        <v>94</v>
      </c>
      <c r="G5" s="24" t="s">
        <v>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2026-02-02T06:02:19Z</dcterms:modified>
</cp:coreProperties>
</file>