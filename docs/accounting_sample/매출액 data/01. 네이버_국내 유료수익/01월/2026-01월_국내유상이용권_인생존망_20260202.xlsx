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B2F12CF1-D5BB-4BDA-9B92-BBE07F801C91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2" r:id="rId1"/>
    <sheet name="1월_세금계산서" sheetId="13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7" i="8" l="1"/>
  <c r="CO7" i="8"/>
  <c r="CG7" i="8"/>
  <c r="BZ7" i="8"/>
  <c r="BY7" i="8"/>
  <c r="BX7" i="8"/>
  <c r="BW7" i="8"/>
  <c r="BV7" i="8"/>
  <c r="BU7" i="8"/>
  <c r="BT7" i="8"/>
  <c r="J5" i="12"/>
  <c r="J6" i="12"/>
  <c r="J7" i="12"/>
  <c r="J8" i="12"/>
  <c r="J9" i="12"/>
  <c r="J10" i="12"/>
  <c r="J14" i="12"/>
  <c r="J15" i="12"/>
  <c r="J16" i="12"/>
  <c r="J4" i="12"/>
  <c r="G22" i="12"/>
  <c r="B20" i="12"/>
  <c r="C20" i="12"/>
  <c r="D20" i="12"/>
  <c r="E20" i="12"/>
  <c r="F20" i="12"/>
  <c r="H28" i="13" s="1"/>
  <c r="G20" i="12"/>
  <c r="H20" i="12"/>
  <c r="I20" i="12"/>
  <c r="CB7" i="8" l="1"/>
  <c r="CA7" i="8"/>
  <c r="J28" i="13"/>
  <c r="I28" i="13"/>
  <c r="CC7" i="8" l="1"/>
  <c r="CD7" i="8" s="1"/>
  <c r="CI7" i="8" s="1"/>
  <c r="B22" i="12"/>
  <c r="CN7" i="8" l="1"/>
  <c r="CK7" i="8"/>
  <c r="CP7" i="8" l="1"/>
  <c r="CV7" i="8"/>
  <c r="D22" i="12"/>
  <c r="E22" i="12" l="1"/>
  <c r="F22" i="12" l="1"/>
  <c r="H22" i="12"/>
</calcChain>
</file>

<file path=xl/sharedStrings.xml><?xml version="1.0" encoding="utf-8"?>
<sst xmlns="http://schemas.openxmlformats.org/spreadsheetml/2006/main" count="177" uniqueCount="111">
  <si>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</si>
  <si>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</si>
  <si>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</si>
  <si>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</si>
  <si>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</si>
  <si>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</si>
  <si>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</si>
  <si>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</si>
  <si>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</si>
  <si>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</si>
  <si>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</si>
  <si>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</si>
  <si>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</si>
  <si>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</si>
  <si>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</si>
  <si>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</si>
  <si>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</si>
  <si>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</si>
  <si>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</si>
  <si>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</si>
  <si>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</si>
  <si>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</si>
  <si>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</si>
  <si>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</si>
  <si>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</si>
  <si>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</si>
  <si>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</si>
  <si>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</si>
  <si>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</si>
  <si>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</si>
  <si>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</si>
  <si>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</si>
  <si>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</si>
  <si>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</si>
  <si>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</si>
  <si>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</si>
  <si>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</si>
  <si>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</si>
  <si>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</si>
  <si>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15세 이상 이용가능</t>
  </si>
  <si>
    <t>팀 박태준_공통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</si>
  <si>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</si>
  <si>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</si>
  <si>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</si>
  <si>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</si>
  <si>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</si>
  <si>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</si>
  <si>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</si>
  <si>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</si>
  <si>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</si>
  <si>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</si>
  <si>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</si>
  <si>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</si>
  <si>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</si>
  <si>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</si>
  <si>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</si>
  <si>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</si>
  <si>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</si>
  <si>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</si>
  <si>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</si>
  <si>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</si>
  <si>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</si>
  <si>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</si>
  <si>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</si>
  <si>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</si>
  <si>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</si>
  <si>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</si>
  <si>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</si>
  <si>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</si>
  <si>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</si>
  <si>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</si>
  <si>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</si>
  <si>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</si>
  <si>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</si>
  <si>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</si>
  <si>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</si>
  <si>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</si>
  <si>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</si>
  <si>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</si>
  <si>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</si>
  <si>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</si>
  <si>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</si>
  <si>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</si>
  <si>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</si>
  <si>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</si>
  <si>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</si>
  <si>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</si>
  <si>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</si>
  <si>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</si>
  <si>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</si>
  <si>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</si>
  <si>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</si>
  <si>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</si>
  <si>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</si>
  <si>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</si>
  <si>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</si>
  <si>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</si>
  <si>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fra09922</t>
    <phoneticPr fontId="18" type="noConversion"/>
  </si>
  <si>
    <t>chtla13!</t>
    <phoneticPr fontId="18" type="noConversion"/>
  </si>
  <si>
    <t>인생존망</t>
  </si>
  <si>
    <t>더그림_인생존망</t>
  </si>
  <si>
    <t>전선욱</t>
  </si>
  <si>
    <t>더그림</t>
  </si>
  <si>
    <t>2020.12.06</t>
  </si>
  <si>
    <t>인생존망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</si>
  <si>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</si>
  <si>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</si>
  <si>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</si>
  <si>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유상이용권-원스토어</t>
  </si>
  <si>
    <t>2026-01</t>
    <phoneticPr fontId="18" type="noConversion"/>
  </si>
  <si>
    <t>- 2025년 7월 [네이버웹툰 파트너십 프로그램]이 시작되어,  '무상 쿠키' 매출로 포함됩니다.(무상이용권 결제수수료율 상이)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</si>
</sst>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yyyy&quot;-&quot;mm"/>
  </numFmts>
  <fonts count="4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ajor"/>
    </font>
    <font>
      <sz val="8"/>
      <color rgb="FFFF0000"/>
      <name val="나눔고딕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6" fillId="0" borderId="0" xfId="0" applyFont="1" applyAlignment="1">
      <alignment vertical="top" wrapText="1"/>
    </xf>
    <xf numFmtId="0" fontId="32" fillId="0" borderId="11" xfId="0" applyFont="1" applyBorder="1" applyAlignment="1">
      <alignment horizontal="center" vertical="center"/>
    </xf>
    <xf numFmtId="9" fontId="0" fillId="0" borderId="0" xfId="2" applyFont="1">
      <alignment vertical="center"/>
    </xf>
    <xf numFmtId="9" fontId="41" fillId="0" borderId="0" xfId="0" applyNumberFormat="1" applyFont="1">
      <alignment vertical="center"/>
    </xf>
    <xf numFmtId="0" fontId="42" fillId="0" borderId="0" xfId="0" quotePrefix="1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122237</xdr:colOff>
      <xdr:row>1</xdr:row>
      <xdr:rowOff>63500</xdr:rowOff>
    </xdr:from>
    <xdr:to>
      <xdr:col>25</xdr:col>
      <xdr:colOff>370874</xdr:colOff>
      <xdr:row>20</xdr:row>
      <xdr:rowOff>57678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9FB7EF0-FB11-6F5F-80B3-EFC30CC0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9654" y="285750"/>
          <a:ext cx="10842554" cy="4212166"/>
        </a:xfrm>
        <a:prstGeom prst="rect">
          <a:avLst/>
        </a:prstGeom>
      </xdr:spPr>
    </xdr:pic>
    <xdr:clientData/>
  </xdr:twoCellAnchor>
  <xdr:twoCellAnchor editAs="oneCell">
    <xdr:from>
      <xdr:col>10</xdr:col>
      <xdr:colOff>74081</xdr:colOff>
      <xdr:row>20</xdr:row>
      <xdr:rowOff>142345</xdr:rowOff>
    </xdr:from>
    <xdr:to>
      <xdr:col>25</xdr:col>
      <xdr:colOff>235897</xdr:colOff>
      <xdr:row>35</xdr:row>
      <xdr:rowOff>142345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5220A65-4D3C-663F-41C0-C6AC9A2D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1498" y="4587345"/>
          <a:ext cx="10750971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541261</xdr:colOff>
      <xdr:row>22</xdr:row>
      <xdr:rowOff>123824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F8673B-39E8-54C1-2690-9C293C8C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80299" cy="4943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1"/>
  <sheetViews>
    <sheetView showGridLines="0" tabSelected="1" zoomScale="90" zoomScaleNormal="90" workbookViewId="0">
      <selection activeCell="D30" sqref="D30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375" style="71" customWidth="1"/>
    <col min="12" max="13" width="10.8125" bestFit="1" customWidth="1"/>
  </cols>
  <sheetData>
    <row r="1" spans="1:10" x14ac:dyDescent="0.6">
      <c r="A1" s="7" t="s">
        <v>96</v>
      </c>
    </row>
    <row r="3" spans="1:10" x14ac:dyDescent="0.6">
      <c r="A3" s="15" t="s">
        <v>69</v>
      </c>
      <c r="B3" s="16" t="s">
        <v>70</v>
      </c>
      <c r="C3" s="16" t="s">
        <v>71</v>
      </c>
      <c r="D3" s="16" t="s">
        <v>72</v>
      </c>
      <c r="E3" s="16" t="s">
        <v>73</v>
      </c>
      <c r="F3" s="25" t="s">
        <v>74</v>
      </c>
      <c r="G3" s="25" t="s">
        <v>75</v>
      </c>
      <c r="H3" s="25" t="s">
        <v>76</v>
      </c>
      <c r="I3" s="16" t="s">
        <v>77</v>
      </c>
    </row>
    <row r="4" spans="1:10" x14ac:dyDescent="0.6">
      <c r="A4" s="9" t="s">
        <v>82</v>
      </c>
      <c r="B4" s="13">
        <v>319555</v>
      </c>
      <c r="C4" s="13">
        <v>0</v>
      </c>
      <c r="D4" s="13">
        <v>21900</v>
      </c>
      <c r="E4" s="13">
        <v>297655</v>
      </c>
      <c r="F4" s="26">
        <v>208359</v>
      </c>
      <c r="G4" s="26">
        <v>0</v>
      </c>
      <c r="H4" s="26">
        <v>208359</v>
      </c>
      <c r="I4" s="13">
        <v>89296</v>
      </c>
      <c r="J4" s="71">
        <f>D4/B4</f>
        <v>6.8532803429769529E-2</v>
      </c>
    </row>
    <row r="5" spans="1:10" x14ac:dyDescent="0.6">
      <c r="A5" s="9" t="s">
        <v>80</v>
      </c>
      <c r="B5" s="13">
        <v>744919</v>
      </c>
      <c r="C5" s="13">
        <v>0</v>
      </c>
      <c r="D5" s="13">
        <v>74492</v>
      </c>
      <c r="E5" s="13">
        <v>670427</v>
      </c>
      <c r="F5" s="26">
        <v>469299</v>
      </c>
      <c r="G5" s="26">
        <v>0</v>
      </c>
      <c r="H5" s="26">
        <v>469299</v>
      </c>
      <c r="I5" s="13">
        <v>201128</v>
      </c>
      <c r="J5" s="71">
        <f t="shared" ref="J5:J16" si="0">D5/B5</f>
        <v>0.10000013424278344</v>
      </c>
    </row>
    <row r="6" spans="1:10" x14ac:dyDescent="0.6">
      <c r="A6" s="9" t="s">
        <v>79</v>
      </c>
      <c r="B6" s="13">
        <v>591300</v>
      </c>
      <c r="C6" s="13">
        <v>0</v>
      </c>
      <c r="D6" s="13">
        <v>59130</v>
      </c>
      <c r="E6" s="13">
        <v>532170</v>
      </c>
      <c r="F6" s="26">
        <v>372519</v>
      </c>
      <c r="G6" s="26">
        <v>0</v>
      </c>
      <c r="H6" s="26">
        <v>372519</v>
      </c>
      <c r="I6" s="13">
        <v>159651</v>
      </c>
      <c r="J6" s="71">
        <f t="shared" si="0"/>
        <v>0.1</v>
      </c>
    </row>
    <row r="7" spans="1:10" x14ac:dyDescent="0.6">
      <c r="A7" s="9" t="s">
        <v>108</v>
      </c>
      <c r="B7" s="13">
        <v>1440</v>
      </c>
      <c r="C7" s="13">
        <v>0</v>
      </c>
      <c r="D7" s="13">
        <v>144</v>
      </c>
      <c r="E7" s="13">
        <v>1296</v>
      </c>
      <c r="F7" s="26">
        <v>907</v>
      </c>
      <c r="G7" s="26">
        <v>0</v>
      </c>
      <c r="H7" s="26">
        <v>907</v>
      </c>
      <c r="I7" s="13">
        <v>389</v>
      </c>
      <c r="J7" s="71">
        <f t="shared" si="0"/>
        <v>0.1</v>
      </c>
    </row>
    <row r="8" spans="1:10" x14ac:dyDescent="0.6">
      <c r="A8" s="9" t="s">
        <v>78</v>
      </c>
      <c r="B8" s="13">
        <v>981725</v>
      </c>
      <c r="C8" s="13">
        <v>0</v>
      </c>
      <c r="D8" s="13">
        <v>294517</v>
      </c>
      <c r="E8" s="13">
        <v>687208</v>
      </c>
      <c r="F8" s="26">
        <v>481045</v>
      </c>
      <c r="G8" s="26">
        <v>0</v>
      </c>
      <c r="H8" s="26">
        <v>481045</v>
      </c>
      <c r="I8" s="13">
        <v>206163</v>
      </c>
      <c r="J8" s="71">
        <f t="shared" si="0"/>
        <v>0.29999949069240367</v>
      </c>
    </row>
    <row r="9" spans="1:10" x14ac:dyDescent="0.6">
      <c r="A9" s="9" t="s">
        <v>81</v>
      </c>
      <c r="B9" s="13">
        <v>700</v>
      </c>
      <c r="C9" s="13">
        <v>0</v>
      </c>
      <c r="D9" s="13">
        <v>105</v>
      </c>
      <c r="E9" s="13">
        <v>595</v>
      </c>
      <c r="F9" s="26">
        <v>417</v>
      </c>
      <c r="G9" s="26">
        <v>0</v>
      </c>
      <c r="H9" s="26">
        <v>417</v>
      </c>
      <c r="I9" s="13">
        <v>178</v>
      </c>
      <c r="J9" s="71">
        <f t="shared" si="0"/>
        <v>0.15</v>
      </c>
    </row>
    <row r="10" spans="1:10" x14ac:dyDescent="0.6">
      <c r="A10" s="9" t="s">
        <v>83</v>
      </c>
      <c r="B10" s="13">
        <v>453600</v>
      </c>
      <c r="C10" s="13">
        <v>0</v>
      </c>
      <c r="D10" s="13">
        <v>45360</v>
      </c>
      <c r="E10" s="13">
        <v>408240</v>
      </c>
      <c r="F10" s="26">
        <v>285768</v>
      </c>
      <c r="G10" s="26">
        <v>0</v>
      </c>
      <c r="H10" s="26">
        <v>285768</v>
      </c>
      <c r="I10" s="13">
        <v>122472</v>
      </c>
      <c r="J10" s="71">
        <f t="shared" si="0"/>
        <v>0.1</v>
      </c>
    </row>
    <row r="11" spans="1:10" x14ac:dyDescent="0.6">
      <c r="A11" s="11" t="s">
        <v>27</v>
      </c>
      <c r="B11" s="14">
        <v>3093239</v>
      </c>
      <c r="C11" s="14">
        <v>0</v>
      </c>
      <c r="D11" s="14">
        <v>495648</v>
      </c>
      <c r="E11" s="14">
        <v>2597591</v>
      </c>
      <c r="F11" s="27">
        <v>1818314</v>
      </c>
      <c r="G11" s="27">
        <v>0</v>
      </c>
      <c r="H11" s="27">
        <v>1818314</v>
      </c>
      <c r="I11" s="14">
        <v>779277</v>
      </c>
    </row>
    <row r="12" spans="1:10" x14ac:dyDescent="0.6">
      <c r="F12" s="28"/>
      <c r="G12" s="28"/>
      <c r="H12" s="28"/>
    </row>
    <row r="13" spans="1:10" x14ac:dyDescent="0.6">
      <c r="A13" s="17" t="s">
        <v>69</v>
      </c>
      <c r="B13" s="18" t="s">
        <v>70</v>
      </c>
      <c r="C13" s="18" t="s">
        <v>71</v>
      </c>
      <c r="D13" s="18" t="s">
        <v>72</v>
      </c>
      <c r="E13" s="18" t="s">
        <v>73</v>
      </c>
      <c r="F13" s="29" t="s">
        <v>74</v>
      </c>
      <c r="G13" s="29" t="s">
        <v>75</v>
      </c>
      <c r="H13" s="29" t="s">
        <v>76</v>
      </c>
      <c r="I13" s="18" t="s">
        <v>77</v>
      </c>
    </row>
    <row r="14" spans="1:10" x14ac:dyDescent="0.6">
      <c r="A14" s="8" t="s">
        <v>78</v>
      </c>
      <c r="B14" s="13">
        <v>9840</v>
      </c>
      <c r="C14" s="13">
        <v>0</v>
      </c>
      <c r="D14" s="13">
        <v>2952</v>
      </c>
      <c r="E14" s="13">
        <v>6888</v>
      </c>
      <c r="F14" s="26">
        <v>4822</v>
      </c>
      <c r="G14" s="26">
        <v>0</v>
      </c>
      <c r="H14" s="26">
        <v>4822</v>
      </c>
      <c r="I14" s="13">
        <v>2066</v>
      </c>
      <c r="J14" s="71">
        <f t="shared" si="0"/>
        <v>0.3</v>
      </c>
    </row>
    <row r="15" spans="1:10" x14ac:dyDescent="0.6">
      <c r="A15" s="8" t="s">
        <v>82</v>
      </c>
      <c r="B15" s="13">
        <v>17395</v>
      </c>
      <c r="C15" s="13">
        <v>0</v>
      </c>
      <c r="D15" s="13">
        <v>660</v>
      </c>
      <c r="E15" s="13">
        <v>16735</v>
      </c>
      <c r="F15" s="26">
        <v>11715</v>
      </c>
      <c r="G15" s="26">
        <v>0</v>
      </c>
      <c r="H15" s="26">
        <v>11715</v>
      </c>
      <c r="I15" s="13">
        <v>5020</v>
      </c>
      <c r="J15" s="71">
        <f t="shared" si="0"/>
        <v>3.7941937338315607E-2</v>
      </c>
    </row>
    <row r="16" spans="1:10" x14ac:dyDescent="0.6">
      <c r="A16" s="8" t="s">
        <v>79</v>
      </c>
      <c r="B16" s="13">
        <v>59300</v>
      </c>
      <c r="C16" s="13">
        <v>0</v>
      </c>
      <c r="D16" s="13">
        <v>5930</v>
      </c>
      <c r="E16" s="13">
        <v>53370</v>
      </c>
      <c r="F16" s="26">
        <v>37359</v>
      </c>
      <c r="G16" s="26">
        <v>0</v>
      </c>
      <c r="H16" s="26">
        <v>37359</v>
      </c>
      <c r="I16" s="13">
        <v>16011</v>
      </c>
      <c r="J16" s="71">
        <f t="shared" si="0"/>
        <v>0.1</v>
      </c>
    </row>
    <row r="17" spans="1:14" x14ac:dyDescent="0.6">
      <c r="A17" s="10" t="s">
        <v>27</v>
      </c>
      <c r="B17" s="14">
        <v>86535</v>
      </c>
      <c r="C17" s="14">
        <v>0</v>
      </c>
      <c r="D17" s="14">
        <v>9542</v>
      </c>
      <c r="E17" s="14">
        <v>76993</v>
      </c>
      <c r="F17" s="27">
        <v>53896</v>
      </c>
      <c r="G17" s="27">
        <v>0</v>
      </c>
      <c r="H17" s="27">
        <v>53896</v>
      </c>
      <c r="I17" s="14">
        <v>23097</v>
      </c>
    </row>
    <row r="18" spans="1:14" x14ac:dyDescent="0.6">
      <c r="F18" s="28"/>
      <c r="G18" s="28"/>
      <c r="H18" s="28"/>
    </row>
    <row r="19" spans="1:14" x14ac:dyDescent="0.6">
      <c r="F19" s="28"/>
      <c r="G19" s="28"/>
      <c r="H19" s="28"/>
    </row>
    <row r="20" spans="1:14" x14ac:dyDescent="0.6">
      <c r="A20" s="19" t="s">
        <v>84</v>
      </c>
      <c r="B20" s="20">
        <f>B11+B17</f>
        <v>3179774</v>
      </c>
      <c r="C20" s="20">
        <f>C11+C17</f>
        <v>0</v>
      </c>
      <c r="D20" s="20">
        <f>D11+D17</f>
        <v>505190</v>
      </c>
      <c r="E20" s="20">
        <f>E11+E17</f>
        <v>2674584</v>
      </c>
      <c r="F20" s="27">
        <f>F11+F17</f>
        <v>1872210</v>
      </c>
      <c r="G20" s="27">
        <f>G11+G17</f>
        <v>0</v>
      </c>
      <c r="H20" s="27">
        <f>H11+H17</f>
        <v>1872210</v>
      </c>
      <c r="I20" s="20">
        <f>I11+I17</f>
        <v>802374</v>
      </c>
    </row>
    <row r="22" spans="1:14" x14ac:dyDescent="0.6">
      <c r="B22" s="24" t="b">
        <f>B20='컨텐츠별 매출 통계'!CA7</f>
        <v>1</v>
      </c>
      <c r="C22" s="24"/>
      <c r="D22" s="24" t="b">
        <f>D20='컨텐츠별 매출 통계'!CB7</f>
        <v>1</v>
      </c>
      <c r="E22" s="24" t="b">
        <f>E20='컨텐츠별 매출 통계'!CC7</f>
        <v>1</v>
      </c>
      <c r="F22" s="24" t="b">
        <f>F20='컨텐츠별 매출 통계'!CN7</f>
        <v>1</v>
      </c>
      <c r="G22" s="24" t="b">
        <f>G20='컨텐츠별 매출 통계'!CO7</f>
        <v>1</v>
      </c>
      <c r="H22" s="24" t="b">
        <f>H20='컨텐츠별 매출 통계'!CP7</f>
        <v>1</v>
      </c>
      <c r="I22" s="24"/>
      <c r="L22" s="48"/>
      <c r="M22" s="48"/>
      <c r="N22" s="48"/>
    </row>
    <row r="23" spans="1:14" x14ac:dyDescent="0.6">
      <c r="A23" s="12"/>
      <c r="L23" s="48"/>
      <c r="M23" s="48"/>
      <c r="N23" s="48"/>
    </row>
    <row r="24" spans="1:14" x14ac:dyDescent="0.6">
      <c r="A24" s="12"/>
      <c r="L24" s="48"/>
      <c r="M24" s="48"/>
      <c r="N24" s="48"/>
    </row>
    <row r="25" spans="1:14" x14ac:dyDescent="0.6">
      <c r="A25" s="12"/>
      <c r="L25" s="48"/>
      <c r="M25" s="48"/>
      <c r="N25" s="48"/>
    </row>
    <row r="26" spans="1:14" x14ac:dyDescent="0.6">
      <c r="A26" s="12"/>
      <c r="L26" s="48"/>
      <c r="M26" s="48"/>
      <c r="N26" s="48"/>
    </row>
    <row r="27" spans="1:14" x14ac:dyDescent="0.6">
      <c r="A27" s="12"/>
      <c r="L27" s="48"/>
      <c r="M27" s="48"/>
      <c r="N27" s="48"/>
    </row>
    <row r="28" spans="1:14" x14ac:dyDescent="0.6">
      <c r="A28" s="12"/>
    </row>
    <row r="29" spans="1:14" x14ac:dyDescent="0.6">
      <c r="A29" s="12"/>
    </row>
    <row r="30" spans="1:14" x14ac:dyDescent="0.6">
      <c r="A30" s="12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B39"/>
      <c r="C39"/>
    </row>
    <row r="40" spans="1:3" x14ac:dyDescent="0.6">
      <c r="B40"/>
      <c r="C40"/>
    </row>
    <row r="41" spans="1:3" x14ac:dyDescent="0.6">
      <c r="B41"/>
      <c r="C41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J28"/>
  <sheetViews>
    <sheetView showGridLines="0" workbookViewId="0">
      <selection activeCell="O17" sqref="O17"/>
    </sheetView>
  </sheetViews>
  <sheetFormatPr defaultRowHeight="16.899999999999999" x14ac:dyDescent="0.6"/>
  <sheetData>
    <row r="25" spans="8:10" x14ac:dyDescent="0.6">
      <c r="H25" s="31"/>
      <c r="I25" s="31"/>
      <c r="J25" s="31"/>
    </row>
    <row r="26" spans="8:10" x14ac:dyDescent="0.6">
      <c r="H26" s="32" t="s">
        <v>105</v>
      </c>
      <c r="I26" s="32" t="s">
        <v>106</v>
      </c>
      <c r="J26" s="32" t="s">
        <v>107</v>
      </c>
    </row>
    <row r="27" spans="8:10" x14ac:dyDescent="0.6">
      <c r="H27" s="30">
        <v>1872210</v>
      </c>
      <c r="I27" s="30">
        <v>0</v>
      </c>
      <c r="J27" s="30">
        <v>1872210</v>
      </c>
    </row>
    <row r="28" spans="8:10" x14ac:dyDescent="0.6">
      <c r="H28" s="30" t="b">
        <f>H27='1월_정산내역서'!F20</f>
        <v>1</v>
      </c>
      <c r="I28" s="30" t="b">
        <f>I27='1월_정산내역서'!G20</f>
        <v>1</v>
      </c>
      <c r="J28" s="30" t="b">
        <f>J27='1월_정산내역서'!H20</f>
        <v>1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V12"/>
  <sheetViews>
    <sheetView showGridLines="0" zoomScale="90" zoomScaleNormal="90" workbookViewId="0">
      <pane ySplit="6" topLeftCell="A7" activePane="bottomLeft" state="frozen"/>
      <selection pane="bottomLeft" activeCell="CA17" sqref="CA17"/>
    </sheetView>
  </sheetViews>
  <sheetFormatPr defaultRowHeight="16.899999999999999" outlineLevelCol="1" x14ac:dyDescent="0.6"/>
  <cols>
    <col min="1" max="1" width="11" style="1" bestFit="1" customWidth="1"/>
    <col min="2" max="2" width="8.1875" style="1" customWidth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9.062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1.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1.5" style="1" bestFit="1" customWidth="1"/>
    <col min="97" max="97" width="11" style="1" bestFit="1" customWidth="1"/>
    <col min="98" max="98" width="9.7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65</v>
      </c>
    </row>
    <row r="2" spans="1:100" x14ac:dyDescent="0.6">
      <c r="A2" s="73" t="s">
        <v>110</v>
      </c>
    </row>
    <row r="3" spans="1:100" ht="19.5" customHeight="1" x14ac:dyDescent="0.6">
      <c r="A3" s="69" t="s">
        <v>0</v>
      </c>
      <c r="B3" s="69"/>
      <c r="C3" s="69"/>
      <c r="D3" s="69"/>
    </row>
    <row r="4" spans="1:100" x14ac:dyDescent="0.6">
      <c r="BT4" s="6">
        <v>0.1</v>
      </c>
      <c r="BU4" s="72">
        <v>7.0000000000000007E-2</v>
      </c>
      <c r="BV4" s="6">
        <v>0.1</v>
      </c>
      <c r="BW4" s="6">
        <v>0.1</v>
      </c>
      <c r="BX4" s="6">
        <v>0.1</v>
      </c>
      <c r="BY4" s="6">
        <v>0.15</v>
      </c>
      <c r="BZ4" s="6">
        <v>0.3</v>
      </c>
      <c r="CA4" s="6"/>
      <c r="CB4" s="5"/>
      <c r="CC4" s="5"/>
      <c r="CD4" s="5">
        <v>0.7</v>
      </c>
    </row>
    <row r="5" spans="1:100" ht="16.5" customHeight="1" x14ac:dyDescent="0.6">
      <c r="A5" s="67" t="s">
        <v>1</v>
      </c>
      <c r="B5" s="67" t="s">
        <v>2</v>
      </c>
      <c r="C5" s="68" t="s">
        <v>3</v>
      </c>
      <c r="D5" s="67" t="s">
        <v>4</v>
      </c>
      <c r="E5" s="67" t="s">
        <v>5</v>
      </c>
      <c r="F5" s="67" t="s">
        <v>6</v>
      </c>
      <c r="G5" s="68" t="s">
        <v>7</v>
      </c>
      <c r="H5" s="68" t="s">
        <v>8</v>
      </c>
      <c r="I5" s="62" t="s">
        <v>9</v>
      </c>
      <c r="J5" s="62"/>
      <c r="K5" s="62"/>
      <c r="L5" s="62"/>
      <c r="M5" s="62"/>
      <c r="N5" s="62"/>
      <c r="O5" s="62"/>
      <c r="P5" s="62"/>
      <c r="Q5" s="62"/>
      <c r="R5" s="61" t="s">
        <v>10</v>
      </c>
      <c r="S5" s="61"/>
      <c r="T5" s="61"/>
      <c r="U5" s="61"/>
      <c r="V5" s="61"/>
      <c r="W5" s="61"/>
      <c r="X5" s="61"/>
      <c r="Y5" s="61"/>
      <c r="Z5" s="61"/>
      <c r="AA5" s="62" t="s">
        <v>11</v>
      </c>
      <c r="AB5" s="62"/>
      <c r="AC5" s="62"/>
      <c r="AD5" s="61" t="s">
        <v>12</v>
      </c>
      <c r="AE5" s="61"/>
      <c r="AF5" s="61"/>
      <c r="AG5" s="62" t="s">
        <v>13</v>
      </c>
      <c r="AH5" s="62"/>
      <c r="AI5" s="62"/>
      <c r="AJ5" s="61" t="s">
        <v>14</v>
      </c>
      <c r="AK5" s="61"/>
      <c r="AL5" s="61"/>
      <c r="AM5" s="62" t="s">
        <v>15</v>
      </c>
      <c r="AN5" s="62"/>
      <c r="AO5" s="62"/>
      <c r="AP5" s="61" t="s">
        <v>16</v>
      </c>
      <c r="AQ5" s="61"/>
      <c r="AR5" s="61"/>
      <c r="AS5" s="62" t="s">
        <v>17</v>
      </c>
      <c r="AT5" s="62"/>
      <c r="AU5" s="62"/>
      <c r="AV5" s="61" t="s">
        <v>18</v>
      </c>
      <c r="AW5" s="61"/>
      <c r="AX5" s="61"/>
      <c r="AY5" s="62" t="s">
        <v>19</v>
      </c>
      <c r="AZ5" s="62"/>
      <c r="BA5" s="62"/>
      <c r="BB5" s="61" t="s">
        <v>20</v>
      </c>
      <c r="BC5" s="61"/>
      <c r="BD5" s="61"/>
      <c r="BE5" s="62" t="s">
        <v>21</v>
      </c>
      <c r="BF5" s="62"/>
      <c r="BG5" s="62"/>
      <c r="BH5" s="61" t="s">
        <v>22</v>
      </c>
      <c r="BI5" s="61"/>
      <c r="BJ5" s="61"/>
      <c r="BK5" s="62" t="s">
        <v>23</v>
      </c>
      <c r="BL5" s="62"/>
      <c r="BM5" s="62"/>
      <c r="BN5" s="61" t="s">
        <v>24</v>
      </c>
      <c r="BO5" s="61"/>
      <c r="BP5" s="61"/>
      <c r="BQ5" s="60" t="s">
        <v>25</v>
      </c>
      <c r="BR5" s="60" t="s">
        <v>26</v>
      </c>
      <c r="BS5" s="60" t="s">
        <v>27</v>
      </c>
      <c r="BT5" s="52" t="s">
        <v>64</v>
      </c>
      <c r="BU5" s="52" t="s">
        <v>63</v>
      </c>
      <c r="BV5" s="52" t="s">
        <v>62</v>
      </c>
      <c r="BW5" s="52" t="s">
        <v>61</v>
      </c>
      <c r="BX5" s="52" t="s">
        <v>60</v>
      </c>
      <c r="BY5" s="52" t="s">
        <v>59</v>
      </c>
      <c r="BZ5" s="52" t="s">
        <v>58</v>
      </c>
      <c r="CA5" s="52" t="s">
        <v>57</v>
      </c>
      <c r="CB5" s="52" t="s">
        <v>56</v>
      </c>
      <c r="CC5" s="57" t="s">
        <v>42</v>
      </c>
      <c r="CD5" s="49" t="s">
        <v>55</v>
      </c>
      <c r="CF5" s="63" t="s">
        <v>54</v>
      </c>
      <c r="CG5" s="65" t="s">
        <v>53</v>
      </c>
      <c r="CH5" s="65" t="s">
        <v>52</v>
      </c>
      <c r="CI5" s="53" t="s">
        <v>51</v>
      </c>
      <c r="CJ5" s="53" t="s">
        <v>50</v>
      </c>
      <c r="CK5" s="53" t="s">
        <v>27</v>
      </c>
      <c r="CL5" s="55" t="s">
        <v>49</v>
      </c>
      <c r="CM5" s="58" t="s">
        <v>48</v>
      </c>
      <c r="CN5" s="49" t="s">
        <v>66</v>
      </c>
      <c r="CO5" s="49" t="s">
        <v>67</v>
      </c>
      <c r="CP5" s="49" t="s">
        <v>68</v>
      </c>
      <c r="CR5" s="51" t="s">
        <v>47</v>
      </c>
      <c r="CS5" s="51" t="s">
        <v>46</v>
      </c>
      <c r="CT5" s="51" t="s">
        <v>45</v>
      </c>
      <c r="CU5" s="51" t="s">
        <v>44</v>
      </c>
      <c r="CV5" s="51" t="s">
        <v>43</v>
      </c>
    </row>
    <row r="6" spans="1:100" ht="27" customHeight="1" x14ac:dyDescent="0.6">
      <c r="A6" s="67"/>
      <c r="B6" s="67"/>
      <c r="C6" s="68"/>
      <c r="D6" s="67"/>
      <c r="E6" s="67"/>
      <c r="F6" s="67"/>
      <c r="G6" s="68"/>
      <c r="H6" s="68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60"/>
      <c r="BR6" s="60"/>
      <c r="BS6" s="60"/>
      <c r="BT6" s="52"/>
      <c r="BU6" s="52"/>
      <c r="BV6" s="52"/>
      <c r="BW6" s="52"/>
      <c r="BX6" s="52"/>
      <c r="BY6" s="52"/>
      <c r="BZ6" s="52"/>
      <c r="CA6" s="52"/>
      <c r="CB6" s="52"/>
      <c r="CC6" s="57" t="s">
        <v>42</v>
      </c>
      <c r="CD6" s="50"/>
      <c r="CF6" s="64"/>
      <c r="CG6" s="66"/>
      <c r="CH6" s="66"/>
      <c r="CI6" s="54"/>
      <c r="CJ6" s="54"/>
      <c r="CK6" s="54"/>
      <c r="CL6" s="56"/>
      <c r="CM6" s="59"/>
      <c r="CN6" s="50"/>
      <c r="CO6" s="50"/>
      <c r="CP6" s="50"/>
      <c r="CR6" s="51"/>
      <c r="CS6" s="51"/>
      <c r="CT6" s="51"/>
      <c r="CU6" s="51"/>
      <c r="CV6" s="51"/>
    </row>
    <row r="7" spans="1:100" s="37" customFormat="1" ht="13.15" x14ac:dyDescent="0.6">
      <c r="A7" s="42" t="s">
        <v>99</v>
      </c>
      <c r="B7" s="42">
        <v>381194</v>
      </c>
      <c r="C7" s="43"/>
      <c r="D7" s="42" t="s">
        <v>100</v>
      </c>
      <c r="E7" s="42" t="s">
        <v>101</v>
      </c>
      <c r="F7" s="42" t="s">
        <v>102</v>
      </c>
      <c r="G7" s="44" t="s">
        <v>39</v>
      </c>
      <c r="H7" s="44" t="s">
        <v>103</v>
      </c>
      <c r="I7" s="44">
        <v>0</v>
      </c>
      <c r="J7" s="45">
        <v>55921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0</v>
      </c>
      <c r="Z7" s="44">
        <v>0</v>
      </c>
      <c r="AA7" s="45">
        <v>1110</v>
      </c>
      <c r="AB7" s="45">
        <v>330500</v>
      </c>
      <c r="AC7" s="45">
        <v>206320</v>
      </c>
      <c r="AD7" s="44">
        <v>129</v>
      </c>
      <c r="AE7" s="45">
        <v>187500</v>
      </c>
      <c r="AF7" s="45">
        <v>46230</v>
      </c>
      <c r="AG7" s="45">
        <v>1581</v>
      </c>
      <c r="AH7" s="45">
        <v>889925</v>
      </c>
      <c r="AI7" s="45">
        <v>55800</v>
      </c>
      <c r="AJ7" s="44">
        <v>84</v>
      </c>
      <c r="AK7" s="45">
        <v>101640</v>
      </c>
      <c r="AL7" s="45">
        <v>22500</v>
      </c>
      <c r="AM7" s="44">
        <v>240</v>
      </c>
      <c r="AN7" s="45">
        <v>101300</v>
      </c>
      <c r="AO7" s="45">
        <v>1700</v>
      </c>
      <c r="AP7" s="44">
        <v>4</v>
      </c>
      <c r="AQ7" s="45">
        <v>31300</v>
      </c>
      <c r="AR7" s="44">
        <v>0</v>
      </c>
      <c r="AS7" s="44">
        <v>957</v>
      </c>
      <c r="AT7" s="45">
        <v>602019</v>
      </c>
      <c r="AU7" s="45">
        <v>1700</v>
      </c>
      <c r="AV7" s="44">
        <v>44</v>
      </c>
      <c r="AW7" s="45">
        <v>142900</v>
      </c>
      <c r="AX7" s="44">
        <v>300</v>
      </c>
      <c r="AY7" s="44">
        <v>644</v>
      </c>
      <c r="AZ7" s="45">
        <v>379680</v>
      </c>
      <c r="BA7" s="45">
        <v>2400</v>
      </c>
      <c r="BB7" s="44">
        <v>59</v>
      </c>
      <c r="BC7" s="45">
        <v>73920</v>
      </c>
      <c r="BD7" s="44">
        <v>0</v>
      </c>
      <c r="BE7" s="44">
        <v>4</v>
      </c>
      <c r="BF7" s="45">
        <v>1440</v>
      </c>
      <c r="BG7" s="44">
        <v>0</v>
      </c>
      <c r="BH7" s="44">
        <v>0</v>
      </c>
      <c r="BI7" s="44">
        <v>0</v>
      </c>
      <c r="BJ7" s="44">
        <v>0</v>
      </c>
      <c r="BK7" s="44">
        <v>1</v>
      </c>
      <c r="BL7" s="44">
        <v>300</v>
      </c>
      <c r="BM7" s="44">
        <v>0</v>
      </c>
      <c r="BN7" s="44">
        <v>1</v>
      </c>
      <c r="BO7" s="44">
        <v>400</v>
      </c>
      <c r="BP7" s="44">
        <v>0</v>
      </c>
      <c r="BQ7" s="44">
        <v>0</v>
      </c>
      <c r="BR7" s="46">
        <v>432523.6</v>
      </c>
      <c r="BS7" s="47">
        <v>3179774</v>
      </c>
      <c r="BT7" s="38">
        <f t="shared" ref="BT7" si="0">BF7+BI7</f>
        <v>1440</v>
      </c>
      <c r="BU7" s="38">
        <f t="shared" ref="BU7" si="1">AC7+AF7+AI7+AL7+AO7+AR7+AU7+AX7+BA7+BD7+BG7+BJ7+BM7+BP7</f>
        <v>336950</v>
      </c>
      <c r="BV7" s="38">
        <f t="shared" ref="BV7" si="2">AQ7+AN7+AB7+AE7</f>
        <v>650600</v>
      </c>
      <c r="BW7" s="38">
        <f t="shared" ref="BW7" si="3">AT7+AW7</f>
        <v>744919</v>
      </c>
      <c r="BX7" s="38">
        <f t="shared" ref="BX7" si="4">BC7+AZ7</f>
        <v>453600</v>
      </c>
      <c r="BY7" s="38">
        <f t="shared" ref="BY7" si="5">BL7+BO7</f>
        <v>700</v>
      </c>
      <c r="BZ7" s="38">
        <f t="shared" ref="BZ7" si="6">AH7+AK7</f>
        <v>991565</v>
      </c>
      <c r="CA7" s="38">
        <f t="shared" ref="CA7" si="7">SUM(BT7:BZ7)</f>
        <v>3179774</v>
      </c>
      <c r="CB7" s="40">
        <f>ROUND(((BT7*$BT$4)+(BU7*$BU$4)+(BV7*$BV$4)+(BW7*$BW$4)+(BX7*$BX$4)+(BY7*$BY$4)+(BZ7*$BZ$4)),0)-1027</f>
        <v>505190</v>
      </c>
      <c r="CC7" s="38">
        <f t="shared" ref="CC7" si="8">CA7-CB7</f>
        <v>2674584</v>
      </c>
      <c r="CD7" s="39">
        <f t="shared" ref="CD7" si="9">ROUND(CC7*$CD$4,0)</f>
        <v>1872209</v>
      </c>
      <c r="CF7" s="33" t="s">
        <v>109</v>
      </c>
      <c r="CG7" s="33" t="str">
        <f t="shared" ref="CG7" si="10">CF7</f>
        <v>2026-01</v>
      </c>
      <c r="CH7" s="34" t="s">
        <v>104</v>
      </c>
      <c r="CI7" s="34">
        <f t="shared" ref="CI7" si="11">CD7</f>
        <v>1872209</v>
      </c>
      <c r="CJ7" s="34">
        <v>0</v>
      </c>
      <c r="CK7" s="34">
        <f t="shared" ref="CK7" si="12">CI7+CJ7</f>
        <v>1872209</v>
      </c>
      <c r="CL7" s="34">
        <v>1</v>
      </c>
      <c r="CM7" s="34"/>
      <c r="CN7" s="34">
        <f t="shared" ref="CN7" si="13">CI7+CL7</f>
        <v>1872210</v>
      </c>
      <c r="CO7" s="34">
        <f t="shared" ref="CO7" si="14">CJ7+CM7</f>
        <v>0</v>
      </c>
      <c r="CP7" s="34">
        <f t="shared" ref="CP7" si="15">CN7+CO7</f>
        <v>1872210</v>
      </c>
      <c r="CR7" s="35" t="str">
        <f t="shared" ref="CR7" si="16">CF7&amp;"월국내유상이용권_웹툰&lt;"&amp;CH7&amp;"&gt;"</f>
        <v>2026-01월국내유상이용권_웹툰&lt;인생존망&gt;</v>
      </c>
      <c r="CS7" s="35" t="s">
        <v>40</v>
      </c>
      <c r="CT7" s="35" t="s">
        <v>99</v>
      </c>
      <c r="CU7" s="35" t="s">
        <v>41</v>
      </c>
      <c r="CV7" s="36">
        <f t="shared" ref="CV7" si="17">CN7</f>
        <v>1872210</v>
      </c>
    </row>
    <row r="8" spans="1:100" s="37" customFormat="1" ht="13.15" x14ac:dyDescent="0.6"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CB8" s="1"/>
      <c r="CC8" s="1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</row>
    <row r="9" spans="1:100" s="37" customFormat="1" ht="13.15" x14ac:dyDescent="0.6"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CB9" s="1"/>
      <c r="CC9" s="1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</row>
    <row r="10" spans="1:100" s="37" customFormat="1" ht="13.15" x14ac:dyDescent="0.6"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CB10" s="1"/>
      <c r="CC10" s="1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</row>
    <row r="11" spans="1:100" s="37" customFormat="1" ht="13.15" x14ac:dyDescent="0.6"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CB11" s="1"/>
      <c r="CC11" s="1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</row>
    <row r="12" spans="1:100" s="37" customFormat="1" ht="13.15" x14ac:dyDescent="0.6"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</row>
  </sheetData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70" t="s">
        <v>85</v>
      </c>
      <c r="C3" s="70"/>
      <c r="D3" s="70"/>
      <c r="E3" s="70"/>
      <c r="F3" s="70"/>
      <c r="G3" s="70"/>
    </row>
    <row r="4" spans="2:7" x14ac:dyDescent="0.6">
      <c r="B4" s="21" t="s">
        <v>86</v>
      </c>
      <c r="C4" s="21" t="s">
        <v>87</v>
      </c>
      <c r="D4" s="21" t="s">
        <v>88</v>
      </c>
      <c r="E4" s="21" t="s">
        <v>92</v>
      </c>
      <c r="F4" s="21" t="s">
        <v>94</v>
      </c>
      <c r="G4" s="21" t="s">
        <v>89</v>
      </c>
    </row>
    <row r="5" spans="2:7" x14ac:dyDescent="0.6">
      <c r="B5" s="22" t="s">
        <v>97</v>
      </c>
      <c r="C5" s="22" t="s">
        <v>98</v>
      </c>
      <c r="D5" s="23" t="s">
        <v>90</v>
      </c>
      <c r="E5" s="22" t="s">
        <v>93</v>
      </c>
      <c r="F5" s="22" t="s">
        <v>95</v>
      </c>
      <c r="G5" s="22" t="s">
        <v>91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2026-02-02T06:10:14Z</dcterms:modified>
</cp:coreProperties>
</file>