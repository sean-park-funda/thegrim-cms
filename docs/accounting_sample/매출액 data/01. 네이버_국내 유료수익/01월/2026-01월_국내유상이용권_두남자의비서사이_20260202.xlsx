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768AFC04-D110-4EA5-8AB6-8688785B0E03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3" r:id="rId1"/>
    <sheet name="1월_세금계산서" sheetId="14" r:id="rId2"/>
    <sheet name="월별 선수수익(MG)" sheetId="15" state="hidden" r:id="rId3"/>
    <sheet name="컨텐츠별 매출 통계" sheetId="8" r:id="rId4"/>
    <sheet name="로그인정보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4" l="1"/>
  <c r="I28" i="14"/>
  <c r="H28" i="14"/>
  <c r="CB7" i="8"/>
  <c r="BU7" i="8" l="1"/>
  <c r="J6" i="15"/>
  <c r="J7" i="15"/>
  <c r="J8" i="15"/>
  <c r="J9" i="15"/>
  <c r="J10" i="15"/>
  <c r="J11" i="15"/>
  <c r="J12" i="15"/>
  <c r="K12" i="15" s="1"/>
  <c r="J13" i="15"/>
  <c r="K13" i="15" s="1"/>
  <c r="J14" i="15"/>
  <c r="K14" i="15" s="1"/>
  <c r="J15" i="15"/>
  <c r="K15" i="15" s="1"/>
  <c r="G6" i="15"/>
  <c r="G3" i="15" s="1"/>
  <c r="G7" i="15"/>
  <c r="G8" i="15"/>
  <c r="G9" i="15"/>
  <c r="G10" i="15"/>
  <c r="G11" i="15"/>
  <c r="G12" i="15"/>
  <c r="G13" i="15"/>
  <c r="G14" i="15"/>
  <c r="G15" i="15"/>
  <c r="G16" i="15"/>
  <c r="G5" i="15"/>
  <c r="H5" i="15" s="1"/>
  <c r="E6" i="15" s="1"/>
  <c r="F6" i="15"/>
  <c r="F7" i="15"/>
  <c r="F8" i="15"/>
  <c r="F9" i="15"/>
  <c r="F10" i="15"/>
  <c r="F11" i="15"/>
  <c r="F12" i="15"/>
  <c r="F13" i="15"/>
  <c r="F14" i="15"/>
  <c r="F15" i="15"/>
  <c r="F16" i="15"/>
  <c r="F5" i="15"/>
  <c r="E3" i="15"/>
  <c r="K11" i="15" l="1"/>
  <c r="K8" i="15"/>
  <c r="K7" i="15"/>
  <c r="K6" i="15"/>
  <c r="H6" i="15"/>
  <c r="K10" i="15"/>
  <c r="K9" i="15"/>
  <c r="F3" i="15"/>
  <c r="E7" i="15" l="1"/>
  <c r="H7" i="15" l="1"/>
  <c r="E8" i="15" s="1"/>
  <c r="H8" i="15" s="1"/>
  <c r="E9" i="15" s="1"/>
  <c r="H9" i="15" s="1"/>
  <c r="E10" i="15" l="1"/>
  <c r="H10" i="15" s="1"/>
  <c r="E11" i="15" l="1"/>
  <c r="H11" i="15" s="1"/>
  <c r="E12" i="15" l="1"/>
  <c r="H12" i="15" s="1"/>
  <c r="E13" i="15" l="1"/>
  <c r="H13" i="15" s="1"/>
  <c r="E14" i="15" s="1"/>
  <c r="H14" i="15" s="1"/>
  <c r="E15" i="15" s="1"/>
  <c r="H15" i="15" s="1"/>
  <c r="E16" i="15" s="1"/>
  <c r="H16" i="15" s="1"/>
  <c r="H3" i="15" s="1"/>
  <c r="B25" i="13" l="1"/>
  <c r="C25" i="13"/>
  <c r="D25" i="13"/>
  <c r="E25" i="13"/>
  <c r="F25" i="13"/>
  <c r="G25" i="13"/>
  <c r="G27" i="13" s="1"/>
  <c r="H25" i="13"/>
  <c r="I25" i="13"/>
  <c r="CR7" i="8" l="1"/>
  <c r="BT7" i="8" l="1"/>
  <c r="BV7" i="8"/>
  <c r="BW7" i="8"/>
  <c r="BX7" i="8"/>
  <c r="BY7" i="8"/>
  <c r="BZ7" i="8"/>
  <c r="CG7" i="8"/>
  <c r="CO7" i="8"/>
  <c r="CA7" i="8" l="1"/>
  <c r="B27" i="13" l="1"/>
  <c r="CC7" i="8"/>
  <c r="D27" i="13"/>
  <c r="CD7" i="8" l="1"/>
  <c r="CI7" i="8" s="1"/>
  <c r="E27" i="13"/>
  <c r="CK7" i="8" l="1"/>
  <c r="CN7" i="8"/>
  <c r="J16" i="15" s="1"/>
  <c r="K16" i="15" s="1"/>
  <c r="K18" i="15" s="1"/>
  <c r="J5" i="15" l="1"/>
  <c r="F27" i="13"/>
  <c r="CP7" i="8"/>
  <c r="H27" i="13" s="1"/>
  <c r="CV7" i="8"/>
  <c r="K5" i="15" l="1"/>
  <c r="K3" i="15" s="1"/>
  <c r="J3" i="15"/>
</calcChain>
</file>

<file path=xl/sharedStrings.xml><?xml version="1.0" encoding="utf-8"?>
<sst xmlns="http://schemas.openxmlformats.org/spreadsheetml/2006/main" count="207" uniqueCount="137">
  <si>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</si>
  <si>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</si>
  <si>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</si>
  <si>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</si>
  <si>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</si>
  <si>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</si>
  <si>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</si>
  <si>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</si>
  <si>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</si>
  <si>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</si>
  <si>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</si>
  <si>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</si>
  <si>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</si>
  <si>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</si>
  <si>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</si>
  <si>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</si>
  <si>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</si>
  <si>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</si>
  <si>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</si>
  <si>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</si>
  <si>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</si>
  <si>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</si>
  <si>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</si>
  <si>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</si>
  <si>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</si>
  <si>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</si>
  <si>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</si>
  <si>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</si>
  <si>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</si>
  <si>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</si>
  <si>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</si>
  <si>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</si>
  <si>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</si>
  <si>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</si>
  <si>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</si>
  <si>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</si>
  <si>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</si>
  <si>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</si>
  <si>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</si>
  <si>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2025-01</t>
    <phoneticPr fontId="18" type="noConversion"/>
  </si>
  <si>
    <t>2025-02</t>
    <phoneticPr fontId="18" type="noConversion"/>
  </si>
  <si>
    <t>2025-03</t>
    <phoneticPr fontId="18" type="noConversion"/>
  </si>
  <si>
    <t>2025-04</t>
    <phoneticPr fontId="18" type="noConversion"/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</si>
  <si>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</si>
  <si>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</si>
  <si>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</si>
  <si>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</si>
  <si>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</si>
  <si>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</si>
  <si>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</si>
  <si>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</si>
  <si>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</si>
  <si>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</si>
  <si>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</si>
  <si>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</si>
  <si>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</si>
  <si>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</si>
  <si>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</si>
  <si>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</si>
  <si>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</si>
  <si>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</si>
  <si>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</si>
  <si>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</si>
  <si>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</si>
  <si>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</si>
  <si>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</si>
  <si>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</si>
  <si>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</si>
  <si>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</si>
  <si>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</si>
  <si>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</si>
  <si>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</si>
  <si>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</si>
  <si>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</si>
  <si>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</si>
  <si>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</si>
  <si>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</si>
  <si>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</si>
  <si>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</si>
  <si>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</si>
  <si>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</si>
  <si>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</si>
  <si>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</si>
  <si>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</si>
  <si>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</si>
  <si>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</si>
  <si>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</si>
  <si>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</si>
  <si>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</si>
  <si>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</si>
  <si>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</si>
  <si>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</si>
  <si>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</si>
  <si>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</si>
  <si>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</si>
  <si>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</si>
  <si>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</si>
  <si>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유상이용권-리딤</t>
  </si>
  <si>
    <t>월구분</t>
    <phoneticPr fontId="18" type="noConversion"/>
  </si>
  <si>
    <t>전기이월</t>
    <phoneticPr fontId="18" type="noConversion"/>
  </si>
  <si>
    <t>정산차액</t>
    <phoneticPr fontId="18" type="noConversion"/>
  </si>
  <si>
    <t>2025-05</t>
  </si>
  <si>
    <t>2025-06</t>
  </si>
  <si>
    <t>2025-07</t>
  </si>
  <si>
    <t>2025-08</t>
  </si>
  <si>
    <t>2025-09</t>
  </si>
  <si>
    <t>두 남자의 비서 사이</t>
  </si>
  <si>
    <t>두 남자의 비서 사이</t>
    <phoneticPr fontId="18" type="noConversion"/>
  </si>
  <si>
    <t>네이버 프렌즈 어드민 &gt; Comic &gt; [시리즈] 매출 통계(이용권 포함) &gt; [CP용] 정산내역서 &gt; 계산서 발행 금액 검증 후 선수수익 차감</t>
    <phoneticPr fontId="18" type="noConversion"/>
  </si>
  <si>
    <t>2025-10</t>
  </si>
  <si>
    <t>2025-11</t>
  </si>
  <si>
    <t>2025-12</t>
  </si>
  <si>
    <t>MG지급</t>
    <phoneticPr fontId="18" type="noConversion"/>
  </si>
  <si>
    <t>MG차감</t>
    <phoneticPr fontId="18" type="noConversion"/>
  </si>
  <si>
    <t>매출액
(프렌즈어드민)</t>
    <phoneticPr fontId="18" type="noConversion"/>
  </si>
  <si>
    <t>MG잔액
(선수수익)</t>
    <phoneticPr fontId="18" type="noConversion"/>
  </si>
  <si>
    <t>fra27203</t>
  </si>
  <si>
    <t>WJSFIR26!!!</t>
  </si>
  <si>
    <t>두남자의비서사이</t>
    <phoneticPr fontId="18" type="noConversion"/>
  </si>
  <si>
    <t>계정명</t>
    <phoneticPr fontId="18" type="noConversion"/>
  </si>
  <si>
    <t>선수수익</t>
    <phoneticPr fontId="18" type="noConversion"/>
  </si>
  <si>
    <t>IP명</t>
    <phoneticPr fontId="18" type="noConversion"/>
  </si>
  <si>
    <t>유상이용권-원스토어</t>
  </si>
  <si>
    <t>유상금액보정</t>
  </si>
  <si>
    <t>바둑이</t>
  </si>
  <si>
    <t>MUTE</t>
  </si>
  <si>
    <t>19세 이상 이용가능</t>
  </si>
  <si>
    <t>전략기획팀</t>
    <phoneticPr fontId="18" type="noConversion"/>
  </si>
  <si>
    <t>** MG 선발행 작품으로 전액 소진 전까지 세금계산서 발행X -&gt; 선수수익 차감 진행.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</si>
  <si>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</si>
  <si>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</si>
  <si>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</si>
  <si>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</si>
  <si>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&lt;- 차액 세금계산서 정발행 완료</t>
    <phoneticPr fontId="18" type="noConversion"/>
  </si>
  <si>
    <t>2026-01</t>
    <phoneticPr fontId="18" type="noConversion"/>
  </si>
  <si>
    <t>더그림_두남자의비서사이</t>
  </si>
  <si>
    <t>2026.01.30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</si>
</sst>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i/>
      <u/>
      <sz val="8"/>
      <color rgb="FFFF0000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41" fontId="29" fillId="0" borderId="0" xfId="1" applyFont="1" applyAlignment="1">
      <alignment vertical="center" wrapText="1"/>
    </xf>
    <xf numFmtId="41" fontId="28" fillId="36" borderId="0" xfId="1" applyFont="1" applyFill="1" applyAlignment="1">
      <alignment vertical="center" wrapText="1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29" fillId="43" borderId="0" xfId="1" applyFont="1" applyFill="1" applyAlignment="1">
      <alignment vertical="center" wrapText="1"/>
    </xf>
    <xf numFmtId="41" fontId="28" fillId="43" borderId="0" xfId="1" applyFont="1" applyFill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33" fillId="0" borderId="11" xfId="45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41" fontId="36" fillId="0" borderId="0" xfId="1" applyFont="1" applyAlignment="1">
      <alignment horizontal="center" vertical="center"/>
    </xf>
    <xf numFmtId="41" fontId="32" fillId="0" borderId="0" xfId="1" applyFont="1" applyAlignment="1">
      <alignment horizontal="center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38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4" fillId="0" borderId="0" xfId="1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41" fontId="37" fillId="0" borderId="0" xfId="1" applyFont="1" applyAlignment="1">
      <alignment vertical="center"/>
    </xf>
    <xf numFmtId="41" fontId="35" fillId="0" borderId="0" xfId="1" applyFont="1" applyFill="1" applyAlignment="1">
      <alignment vertical="center"/>
    </xf>
    <xf numFmtId="41" fontId="37" fillId="0" borderId="0" xfId="0" applyNumberFormat="1" applyFont="1">
      <alignment vertical="center"/>
    </xf>
    <xf numFmtId="0" fontId="37" fillId="0" borderId="0" xfId="0" applyFont="1" applyAlignment="1">
      <alignment horizontal="left" vertical="center" wrapText="1"/>
    </xf>
    <xf numFmtId="49" fontId="37" fillId="0" borderId="0" xfId="0" applyNumberFormat="1" applyFont="1" applyAlignment="1">
      <alignment vertical="center" wrapText="1"/>
    </xf>
    <xf numFmtId="0" fontId="37" fillId="0" borderId="0" xfId="0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4" fontId="37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0" fontId="20" fillId="36" borderId="11" xfId="0" applyFont="1" applyFill="1" applyBorder="1" applyAlignment="1">
      <alignment horizontal="center" vertical="center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1" fontId="19" fillId="0" borderId="11" xfId="1" applyFont="1" applyBorder="1" applyAlignment="1">
      <alignment horizontal="center" vertical="center"/>
    </xf>
    <xf numFmtId="41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40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0" fontId="41" fillId="0" borderId="0" xfId="0" applyFont="1">
      <alignment vertical="center"/>
    </xf>
    <xf numFmtId="41" fontId="42" fillId="0" borderId="0" xfId="1" applyFont="1" applyFill="1" applyAlignment="1">
      <alignment vertical="center"/>
    </xf>
    <xf numFmtId="41" fontId="37" fillId="0" borderId="0" xfId="1" applyFont="1" applyFill="1" applyBorder="1" applyAlignment="1">
      <alignment vertical="center"/>
    </xf>
    <xf numFmtId="176" fontId="37" fillId="0" borderId="0" xfId="1" applyNumberFormat="1" applyFont="1" applyFill="1" applyAlignment="1">
      <alignment vertical="center"/>
    </xf>
    <xf numFmtId="49" fontId="37" fillId="0" borderId="0" xfId="1" applyNumberFormat="1" applyFont="1" applyFill="1" applyAlignment="1">
      <alignment horizontal="center" vertical="center"/>
    </xf>
    <xf numFmtId="41" fontId="37" fillId="0" borderId="0" xfId="1" applyFont="1" applyFill="1" applyAlignment="1">
      <alignment horizontal="center" vertical="center"/>
    </xf>
    <xf numFmtId="41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49" fontId="37" fillId="0" borderId="0" xfId="0" applyNumberFormat="1" applyFont="1">
      <alignment vertical="center"/>
    </xf>
    <xf numFmtId="3" fontId="37" fillId="0" borderId="0" xfId="0" applyNumberFormat="1" applyFont="1">
      <alignment vertical="center"/>
    </xf>
    <xf numFmtId="4" fontId="37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9" fontId="0" fillId="0" borderId="0" xfId="2" applyFont="1">
      <alignment vertical="center"/>
    </xf>
    <xf numFmtId="41" fontId="39" fillId="0" borderId="0" xfId="1" applyFont="1" applyFill="1" applyAlignment="1">
      <alignment vertical="center"/>
    </xf>
    <xf numFmtId="0" fontId="43" fillId="0" borderId="0" xfId="0" applyFont="1">
      <alignment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1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6" fillId="0" borderId="0" xfId="0" applyFont="1" applyAlignment="1">
      <alignment vertical="top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248178</xdr:colOff>
      <xdr:row>2</xdr:row>
      <xdr:rowOff>10583</xdr:rowOff>
    </xdr:from>
    <xdr:to>
      <xdr:col>22</xdr:col>
      <xdr:colOff>560316</xdr:colOff>
      <xdr:row>19</xdr:row>
      <xdr:rowOff>169333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4974598-53CA-9724-48BF-D4DE5DC7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2511" y="455083"/>
          <a:ext cx="9636055" cy="3937000"/>
        </a:xfrm>
        <a:prstGeom prst="rect">
          <a:avLst/>
        </a:prstGeom>
      </xdr:spPr>
    </xdr:pic>
    <xdr:clientData/>
  </xdr:twoCellAnchor>
  <xdr:twoCellAnchor editAs="oneCell">
    <xdr:from>
      <xdr:col>9</xdr:col>
      <xdr:colOff>248179</xdr:colOff>
      <xdr:row>20</xdr:row>
      <xdr:rowOff>0</xdr:rowOff>
    </xdr:from>
    <xdr:to>
      <xdr:col>22</xdr:col>
      <xdr:colOff>610966</xdr:colOff>
      <xdr:row>36</xdr:row>
      <xdr:rowOff>201083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DE05D6F-DC94-B4E1-C1AD-23647CDA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2512" y="4445000"/>
          <a:ext cx="9681942" cy="3757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620354</xdr:colOff>
      <xdr:row>22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33A813-DE3E-63BB-3C70-874FD1DC4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64154" cy="496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1E1B-ED64-42D5-8454-109891E17CC6}">
  <sheetPr>
    <tabColor theme="0" tint="-0.249977111117893"/>
  </sheetPr>
  <dimension ref="A1:J46"/>
  <sheetViews>
    <sheetView showGridLines="0" tabSelected="1" zoomScale="90" zoomScaleNormal="90" workbookViewId="0">
      <selection activeCell="F25" sqref="F25"/>
    </sheetView>
  </sheetViews>
  <sheetFormatPr defaultRowHeight="16.899999999999999" x14ac:dyDescent="0.6"/>
  <cols>
    <col min="1" max="1" width="23.75" bestFit="1" customWidth="1"/>
    <col min="2" max="2" width="12.8125" style="12" customWidth="1"/>
    <col min="3" max="4" width="11.5" style="12" customWidth="1"/>
    <col min="5" max="6" width="12.8125" style="12" customWidth="1"/>
    <col min="7" max="7" width="12.5625" style="12" customWidth="1"/>
    <col min="8" max="8" width="12.8125" style="12" customWidth="1"/>
    <col min="9" max="9" width="16.0625" style="12" customWidth="1"/>
    <col min="10" max="10" width="14" bestFit="1" customWidth="1"/>
  </cols>
  <sheetData>
    <row r="1" spans="1:10" x14ac:dyDescent="0.6">
      <c r="A1" s="7" t="s">
        <v>108</v>
      </c>
    </row>
    <row r="3" spans="1:10" x14ac:dyDescent="0.6">
      <c r="A3" s="17" t="s">
        <v>71</v>
      </c>
      <c r="B3" s="18" t="s">
        <v>72</v>
      </c>
      <c r="C3" s="18" t="s">
        <v>73</v>
      </c>
      <c r="D3" s="18" t="s">
        <v>74</v>
      </c>
      <c r="E3" s="18" t="s">
        <v>75</v>
      </c>
      <c r="F3" s="25" t="s">
        <v>76</v>
      </c>
      <c r="G3" s="25" t="s">
        <v>77</v>
      </c>
      <c r="H3" s="25" t="s">
        <v>78</v>
      </c>
      <c r="I3" s="18" t="s">
        <v>79</v>
      </c>
    </row>
    <row r="4" spans="1:10" x14ac:dyDescent="0.6">
      <c r="A4" s="9" t="s">
        <v>82</v>
      </c>
      <c r="B4" s="13">
        <v>10372420</v>
      </c>
      <c r="C4" s="13">
        <v>0</v>
      </c>
      <c r="D4" s="13">
        <v>1037242</v>
      </c>
      <c r="E4" s="13">
        <v>9335178</v>
      </c>
      <c r="F4" s="26">
        <v>5601107</v>
      </c>
      <c r="G4" s="26">
        <v>0</v>
      </c>
      <c r="H4" s="26">
        <v>5601107</v>
      </c>
      <c r="I4" s="13">
        <v>3734071</v>
      </c>
      <c r="J4" s="90"/>
    </row>
    <row r="5" spans="1:10" x14ac:dyDescent="0.6">
      <c r="A5" s="9" t="s">
        <v>122</v>
      </c>
      <c r="B5" s="13">
        <v>1668840</v>
      </c>
      <c r="C5" s="13">
        <v>0</v>
      </c>
      <c r="D5" s="13">
        <v>133507</v>
      </c>
      <c r="E5" s="13">
        <v>1535333</v>
      </c>
      <c r="F5" s="26">
        <v>921200</v>
      </c>
      <c r="G5" s="26">
        <v>0</v>
      </c>
      <c r="H5" s="26">
        <v>921200</v>
      </c>
      <c r="I5" s="13">
        <v>614133</v>
      </c>
      <c r="J5" s="90"/>
    </row>
    <row r="6" spans="1:10" x14ac:dyDescent="0.6">
      <c r="A6" s="9" t="s">
        <v>80</v>
      </c>
      <c r="B6" s="13">
        <v>22307331</v>
      </c>
      <c r="C6" s="13">
        <v>0</v>
      </c>
      <c r="D6" s="13">
        <v>6692199</v>
      </c>
      <c r="E6" s="13">
        <v>15615132</v>
      </c>
      <c r="F6" s="26">
        <v>9369079</v>
      </c>
      <c r="G6" s="26">
        <v>0</v>
      </c>
      <c r="H6" s="26">
        <v>9369079</v>
      </c>
      <c r="I6" s="13">
        <v>6246053</v>
      </c>
      <c r="J6" s="90"/>
    </row>
    <row r="7" spans="1:10" x14ac:dyDescent="0.6">
      <c r="A7" s="9" t="s">
        <v>84</v>
      </c>
      <c r="B7" s="13">
        <v>26268120</v>
      </c>
      <c r="C7" s="13">
        <v>0</v>
      </c>
      <c r="D7" s="13">
        <v>2364131</v>
      </c>
      <c r="E7" s="13">
        <v>23903989</v>
      </c>
      <c r="F7" s="26">
        <v>14342394</v>
      </c>
      <c r="G7" s="26">
        <v>0</v>
      </c>
      <c r="H7" s="26">
        <v>14342394</v>
      </c>
      <c r="I7" s="13">
        <v>9561595</v>
      </c>
      <c r="J7" s="90"/>
    </row>
    <row r="8" spans="1:10" x14ac:dyDescent="0.6">
      <c r="A8" s="9" t="s">
        <v>83</v>
      </c>
      <c r="B8" s="13">
        <v>30281450</v>
      </c>
      <c r="C8" s="13">
        <v>0</v>
      </c>
      <c r="D8" s="13">
        <v>0</v>
      </c>
      <c r="E8" s="13">
        <v>30281450</v>
      </c>
      <c r="F8" s="26">
        <v>18168870</v>
      </c>
      <c r="G8" s="26">
        <v>0</v>
      </c>
      <c r="H8" s="26">
        <v>18168870</v>
      </c>
      <c r="I8" s="13">
        <v>12112580</v>
      </c>
      <c r="J8" s="90"/>
    </row>
    <row r="9" spans="1:10" x14ac:dyDescent="0.6">
      <c r="A9" s="9" t="s">
        <v>97</v>
      </c>
      <c r="B9" s="13">
        <v>160500</v>
      </c>
      <c r="C9" s="13">
        <v>0</v>
      </c>
      <c r="D9" s="13">
        <v>24075</v>
      </c>
      <c r="E9" s="13">
        <v>136425</v>
      </c>
      <c r="F9" s="26">
        <v>81855</v>
      </c>
      <c r="G9" s="26">
        <v>0</v>
      </c>
      <c r="H9" s="26">
        <v>81855</v>
      </c>
      <c r="I9" s="13">
        <v>54570</v>
      </c>
      <c r="J9" s="90"/>
    </row>
    <row r="10" spans="1:10" x14ac:dyDescent="0.6">
      <c r="A10" s="9" t="s">
        <v>81</v>
      </c>
      <c r="B10" s="13">
        <v>24213357</v>
      </c>
      <c r="C10" s="13">
        <v>0</v>
      </c>
      <c r="D10" s="13">
        <v>726401</v>
      </c>
      <c r="E10" s="13">
        <v>23486956</v>
      </c>
      <c r="F10" s="26">
        <v>14092174</v>
      </c>
      <c r="G10" s="26">
        <v>0</v>
      </c>
      <c r="H10" s="26">
        <v>14092174</v>
      </c>
      <c r="I10" s="13">
        <v>9394782</v>
      </c>
      <c r="J10" s="90"/>
    </row>
    <row r="11" spans="1:10" x14ac:dyDescent="0.6">
      <c r="A11" s="9" t="s">
        <v>123</v>
      </c>
      <c r="B11" s="13">
        <v>183</v>
      </c>
      <c r="C11" s="13">
        <v>0</v>
      </c>
      <c r="D11" s="13">
        <v>0</v>
      </c>
      <c r="E11" s="13">
        <v>183</v>
      </c>
      <c r="F11" s="26">
        <v>110</v>
      </c>
      <c r="G11" s="26">
        <v>0</v>
      </c>
      <c r="H11" s="26">
        <v>110</v>
      </c>
      <c r="I11" s="13">
        <v>73</v>
      </c>
      <c r="J11" s="90"/>
    </row>
    <row r="12" spans="1:10" x14ac:dyDescent="0.6">
      <c r="A12" s="11" t="s">
        <v>27</v>
      </c>
      <c r="B12" s="14">
        <v>115272201</v>
      </c>
      <c r="C12" s="14">
        <v>0</v>
      </c>
      <c r="D12" s="14">
        <v>10977555</v>
      </c>
      <c r="E12" s="14">
        <v>104294646</v>
      </c>
      <c r="F12" s="27">
        <v>62576789</v>
      </c>
      <c r="G12" s="27">
        <v>0</v>
      </c>
      <c r="H12" s="27">
        <v>62576789</v>
      </c>
      <c r="I12" s="14">
        <v>41717857</v>
      </c>
      <c r="J12" s="90"/>
    </row>
    <row r="13" spans="1:10" x14ac:dyDescent="0.6">
      <c r="F13" s="28"/>
      <c r="G13" s="28"/>
      <c r="H13" s="28"/>
      <c r="J13" s="90"/>
    </row>
    <row r="14" spans="1:10" x14ac:dyDescent="0.6">
      <c r="A14" s="19" t="s">
        <v>71</v>
      </c>
      <c r="B14" s="20" t="s">
        <v>72</v>
      </c>
      <c r="C14" s="20" t="s">
        <v>73</v>
      </c>
      <c r="D14" s="20" t="s">
        <v>74</v>
      </c>
      <c r="E14" s="20" t="s">
        <v>75</v>
      </c>
      <c r="F14" s="29" t="s">
        <v>76</v>
      </c>
      <c r="G14" s="29" t="s">
        <v>77</v>
      </c>
      <c r="H14" s="29" t="s">
        <v>78</v>
      </c>
      <c r="I14" s="20" t="s">
        <v>79</v>
      </c>
      <c r="J14" s="90"/>
    </row>
    <row r="15" spans="1:10" x14ac:dyDescent="0.6">
      <c r="A15" s="8" t="s">
        <v>122</v>
      </c>
      <c r="B15" s="15">
        <v>2760</v>
      </c>
      <c r="C15" s="15">
        <v>0</v>
      </c>
      <c r="D15" s="15">
        <v>221</v>
      </c>
      <c r="E15" s="15">
        <v>2539</v>
      </c>
      <c r="F15" s="30">
        <v>1524</v>
      </c>
      <c r="G15" s="30">
        <v>0</v>
      </c>
      <c r="H15" s="30">
        <v>1524</v>
      </c>
      <c r="I15" s="15">
        <v>1015</v>
      </c>
      <c r="J15" s="90"/>
    </row>
    <row r="16" spans="1:10" x14ac:dyDescent="0.6">
      <c r="A16" s="8" t="s">
        <v>84</v>
      </c>
      <c r="B16" s="15">
        <v>9960</v>
      </c>
      <c r="C16" s="15">
        <v>0</v>
      </c>
      <c r="D16" s="15">
        <v>896</v>
      </c>
      <c r="E16" s="15">
        <v>9064</v>
      </c>
      <c r="F16" s="30">
        <v>5438</v>
      </c>
      <c r="G16" s="30">
        <v>0</v>
      </c>
      <c r="H16" s="30">
        <v>5438</v>
      </c>
      <c r="I16" s="15">
        <v>3626</v>
      </c>
      <c r="J16" s="90"/>
    </row>
    <row r="17" spans="1:10" x14ac:dyDescent="0.6">
      <c r="A17" s="8" t="s">
        <v>80</v>
      </c>
      <c r="B17" s="15">
        <v>6825</v>
      </c>
      <c r="C17" s="15">
        <v>0</v>
      </c>
      <c r="D17" s="15">
        <v>2047</v>
      </c>
      <c r="E17" s="15">
        <v>4778</v>
      </c>
      <c r="F17" s="30">
        <v>2867</v>
      </c>
      <c r="G17" s="30">
        <v>0</v>
      </c>
      <c r="H17" s="30">
        <v>2867</v>
      </c>
      <c r="I17" s="15">
        <v>1911</v>
      </c>
      <c r="J17" s="90"/>
    </row>
    <row r="18" spans="1:10" x14ac:dyDescent="0.6">
      <c r="A18" s="8" t="s">
        <v>81</v>
      </c>
      <c r="B18" s="15">
        <v>165500</v>
      </c>
      <c r="C18" s="15">
        <v>0</v>
      </c>
      <c r="D18" s="15">
        <v>4965</v>
      </c>
      <c r="E18" s="15">
        <v>160535</v>
      </c>
      <c r="F18" s="30">
        <v>96321</v>
      </c>
      <c r="G18" s="30">
        <v>0</v>
      </c>
      <c r="H18" s="30">
        <v>96321</v>
      </c>
      <c r="I18" s="15">
        <v>64214</v>
      </c>
      <c r="J18" s="90"/>
    </row>
    <row r="19" spans="1:10" x14ac:dyDescent="0.6">
      <c r="A19" s="8" t="s">
        <v>82</v>
      </c>
      <c r="B19" s="15">
        <v>7560</v>
      </c>
      <c r="C19" s="15">
        <v>0</v>
      </c>
      <c r="D19" s="15">
        <v>756</v>
      </c>
      <c r="E19" s="15">
        <v>6804</v>
      </c>
      <c r="F19" s="30">
        <v>4082</v>
      </c>
      <c r="G19" s="30">
        <v>0</v>
      </c>
      <c r="H19" s="30">
        <v>4082</v>
      </c>
      <c r="I19" s="15">
        <v>2722</v>
      </c>
      <c r="J19" s="90"/>
    </row>
    <row r="20" spans="1:10" x14ac:dyDescent="0.6">
      <c r="A20" s="8" t="s">
        <v>83</v>
      </c>
      <c r="B20" s="15">
        <v>37285</v>
      </c>
      <c r="C20" s="15">
        <v>0</v>
      </c>
      <c r="D20" s="15">
        <v>0</v>
      </c>
      <c r="E20" s="15">
        <v>37285</v>
      </c>
      <c r="F20" s="30">
        <v>22371</v>
      </c>
      <c r="G20" s="30">
        <v>0</v>
      </c>
      <c r="H20" s="30">
        <v>22371</v>
      </c>
      <c r="I20" s="15">
        <v>14914</v>
      </c>
      <c r="J20" s="90"/>
    </row>
    <row r="21" spans="1:10" x14ac:dyDescent="0.6">
      <c r="A21" s="8" t="s">
        <v>97</v>
      </c>
      <c r="B21" s="15">
        <v>300</v>
      </c>
      <c r="C21" s="15">
        <v>0</v>
      </c>
      <c r="D21" s="15">
        <v>45</v>
      </c>
      <c r="E21" s="15">
        <v>255</v>
      </c>
      <c r="F21" s="30">
        <v>153</v>
      </c>
      <c r="G21" s="30">
        <v>0</v>
      </c>
      <c r="H21" s="30">
        <v>153</v>
      </c>
      <c r="I21" s="15">
        <v>102</v>
      </c>
      <c r="J21" s="90"/>
    </row>
    <row r="22" spans="1:10" x14ac:dyDescent="0.6">
      <c r="A22" s="10" t="s">
        <v>27</v>
      </c>
      <c r="B22" s="16">
        <v>230190</v>
      </c>
      <c r="C22" s="16">
        <v>0</v>
      </c>
      <c r="D22" s="16">
        <v>8930</v>
      </c>
      <c r="E22" s="16">
        <v>221260</v>
      </c>
      <c r="F22" s="31">
        <v>132756</v>
      </c>
      <c r="G22" s="31">
        <v>0</v>
      </c>
      <c r="H22" s="31">
        <v>132756</v>
      </c>
      <c r="I22" s="16">
        <v>88504</v>
      </c>
      <c r="J22" s="90"/>
    </row>
    <row r="23" spans="1:10" x14ac:dyDescent="0.6">
      <c r="F23" s="28"/>
      <c r="G23" s="28"/>
      <c r="H23" s="28"/>
    </row>
    <row r="24" spans="1:10" x14ac:dyDescent="0.6">
      <c r="F24" s="28"/>
      <c r="G24" s="28"/>
      <c r="H24" s="28"/>
    </row>
    <row r="25" spans="1:10" x14ac:dyDescent="0.6">
      <c r="A25" s="21" t="s">
        <v>85</v>
      </c>
      <c r="B25" s="22">
        <f t="shared" ref="B25:I25" si="0">B12+B22</f>
        <v>115502391</v>
      </c>
      <c r="C25" s="22">
        <f t="shared" si="0"/>
        <v>0</v>
      </c>
      <c r="D25" s="22">
        <f t="shared" si="0"/>
        <v>10986485</v>
      </c>
      <c r="E25" s="22">
        <f t="shared" si="0"/>
        <v>104515906</v>
      </c>
      <c r="F25" s="27">
        <f t="shared" si="0"/>
        <v>62709545</v>
      </c>
      <c r="G25" s="27">
        <f t="shared" si="0"/>
        <v>0</v>
      </c>
      <c r="H25" s="27">
        <f t="shared" si="0"/>
        <v>62709545</v>
      </c>
      <c r="I25" s="22">
        <f t="shared" si="0"/>
        <v>41806361</v>
      </c>
    </row>
    <row r="27" spans="1:10" x14ac:dyDescent="0.6">
      <c r="B27" s="24" t="b">
        <f>B25='컨텐츠별 매출 통계'!CA7</f>
        <v>1</v>
      </c>
      <c r="C27" s="24"/>
      <c r="D27" s="24" t="b">
        <f>D25='컨텐츠별 매출 통계'!CB7</f>
        <v>1</v>
      </c>
      <c r="E27" s="24" t="b">
        <f>E25='컨텐츠별 매출 통계'!CC7</f>
        <v>1</v>
      </c>
      <c r="F27" s="24" t="b">
        <f>F25='컨텐츠별 매출 통계'!CN7</f>
        <v>1</v>
      </c>
      <c r="G27" s="24" t="b">
        <f>G25='컨텐츠별 매출 통계'!CO7</f>
        <v>1</v>
      </c>
      <c r="H27" s="24" t="b">
        <f>H25='컨텐츠별 매출 통계'!CP7</f>
        <v>1</v>
      </c>
      <c r="I27" s="24"/>
    </row>
    <row r="28" spans="1:10" x14ac:dyDescent="0.6">
      <c r="A28" s="12"/>
    </row>
    <row r="29" spans="1:10" x14ac:dyDescent="0.6">
      <c r="A29" s="12"/>
    </row>
    <row r="30" spans="1:10" x14ac:dyDescent="0.6">
      <c r="A30" s="12"/>
    </row>
    <row r="31" spans="1:10" x14ac:dyDescent="0.6">
      <c r="A31" s="12"/>
    </row>
    <row r="32" spans="1:10" x14ac:dyDescent="0.6">
      <c r="A32" s="7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A41" s="12"/>
    </row>
    <row r="42" spans="1:3" x14ac:dyDescent="0.6">
      <c r="A42" s="12"/>
    </row>
    <row r="43" spans="1:3" x14ac:dyDescent="0.6">
      <c r="A43" s="12"/>
    </row>
    <row r="44" spans="1:3" x14ac:dyDescent="0.6">
      <c r="B44"/>
      <c r="C44"/>
    </row>
    <row r="45" spans="1:3" x14ac:dyDescent="0.6">
      <c r="B45"/>
      <c r="C45"/>
    </row>
    <row r="46" spans="1:3" x14ac:dyDescent="0.6">
      <c r="B46"/>
      <c r="C46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23BA-7E55-4701-812B-D3D5EED552AB}">
  <sheetPr>
    <tabColor theme="0" tint="-0.249977111117893"/>
  </sheetPr>
  <dimension ref="H26:J28"/>
  <sheetViews>
    <sheetView showGridLines="0" workbookViewId="0">
      <selection activeCell="S6" sqref="S6"/>
    </sheetView>
  </sheetViews>
  <sheetFormatPr defaultRowHeight="16.899999999999999" x14ac:dyDescent="0.6"/>
  <sheetData>
    <row r="26" spans="8:10" x14ac:dyDescent="0.6">
      <c r="H26" s="36" t="s">
        <v>130</v>
      </c>
      <c r="I26" s="36" t="s">
        <v>131</v>
      </c>
      <c r="J26" s="36" t="s">
        <v>132</v>
      </c>
    </row>
    <row r="27" spans="8:10" x14ac:dyDescent="0.6">
      <c r="H27" s="35">
        <v>62709545</v>
      </c>
      <c r="I27" s="35">
        <v>0</v>
      </c>
      <c r="J27" s="35">
        <v>62709545</v>
      </c>
    </row>
    <row r="28" spans="8:10" x14ac:dyDescent="0.6">
      <c r="H28" s="35" t="b">
        <f>H27='1월_정산내역서'!F25</f>
        <v>1</v>
      </c>
      <c r="I28" s="35" t="b">
        <f>I27='1월_정산내역서'!G25</f>
        <v>1</v>
      </c>
      <c r="J28" s="35" t="b">
        <f>J27='1월_정산내역서'!H25</f>
        <v>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17AD-E2E0-4943-8BDB-AFE1C939D67F}">
  <sheetPr>
    <tabColor theme="0" tint="-0.249977111117893"/>
  </sheetPr>
  <dimension ref="B3:L22"/>
  <sheetViews>
    <sheetView showGridLines="0" workbookViewId="0">
      <selection activeCell="J16" sqref="J16"/>
    </sheetView>
  </sheetViews>
  <sheetFormatPr defaultRowHeight="16.899999999999999" x14ac:dyDescent="0.6"/>
  <cols>
    <col min="1" max="1" width="2.75" customWidth="1"/>
    <col min="2" max="2" width="15.1875" customWidth="1"/>
    <col min="3" max="3" width="15.8125" bestFit="1" customWidth="1"/>
    <col min="4" max="4" width="6.5625" bestFit="1" customWidth="1"/>
    <col min="5" max="7" width="11.4375" style="75" bestFit="1" customWidth="1"/>
    <col min="8" max="8" width="11.0625" style="75" bestFit="1" customWidth="1"/>
    <col min="9" max="9" width="3.5" customWidth="1"/>
    <col min="10" max="10" width="11.4375" style="75" bestFit="1" customWidth="1"/>
    <col min="11" max="11" width="10.1875" style="71" bestFit="1" customWidth="1"/>
  </cols>
  <sheetData>
    <row r="3" spans="2:12" x14ac:dyDescent="0.6">
      <c r="E3" s="61">
        <f>E5</f>
        <v>0</v>
      </c>
      <c r="F3" s="61" t="e">
        <f>SUM(F4:F16)</f>
        <v>#REF!</v>
      </c>
      <c r="G3" s="61" t="e">
        <f>SUM(G4:G16)</f>
        <v>#REF!</v>
      </c>
      <c r="H3" s="61" t="e">
        <f>H16</f>
        <v>#REF!</v>
      </c>
      <c r="I3" s="62"/>
      <c r="J3" s="61">
        <f>SUM(J4:J16)</f>
        <v>0</v>
      </c>
      <c r="K3" s="61" t="e">
        <f>SUM(K4:K16)</f>
        <v>#REF!</v>
      </c>
    </row>
    <row r="4" spans="2:12" ht="26.25" x14ac:dyDescent="0.6">
      <c r="B4" s="63" t="s">
        <v>119</v>
      </c>
      <c r="C4" s="63" t="s">
        <v>121</v>
      </c>
      <c r="D4" s="63" t="s">
        <v>98</v>
      </c>
      <c r="E4" s="64" t="s">
        <v>99</v>
      </c>
      <c r="F4" s="65" t="s">
        <v>112</v>
      </c>
      <c r="G4" s="65" t="s">
        <v>113</v>
      </c>
      <c r="H4" s="66" t="s">
        <v>115</v>
      </c>
      <c r="J4" s="66" t="s">
        <v>114</v>
      </c>
      <c r="K4" s="67" t="s">
        <v>100</v>
      </c>
    </row>
    <row r="5" spans="2:12" x14ac:dyDescent="0.6">
      <c r="B5" s="93" t="s">
        <v>120</v>
      </c>
      <c r="C5" s="96" t="s">
        <v>118</v>
      </c>
      <c r="D5" s="68" t="s">
        <v>39</v>
      </c>
      <c r="E5" s="69"/>
      <c r="F5" s="69" t="e">
        <f>SUMIFS(#REF!,#REF!,$D5&amp;"*")</f>
        <v>#REF!</v>
      </c>
      <c r="G5" s="69" t="e">
        <f>-SUMIFS(#REF!,#REF!,$D5&amp;"*")</f>
        <v>#REF!</v>
      </c>
      <c r="H5" s="69" t="e">
        <f>SUM(E5:G5)</f>
        <v>#REF!</v>
      </c>
      <c r="I5" s="70"/>
      <c r="J5" s="69">
        <f>SUMIFS('컨텐츠별 매출 통계'!$CN:$CN,'컨텐츠별 매출 통계'!$CF:$CF,$D5)</f>
        <v>0</v>
      </c>
      <c r="K5" s="70" t="e">
        <f>G5+J5</f>
        <v>#REF!</v>
      </c>
    </row>
    <row r="6" spans="2:12" x14ac:dyDescent="0.6">
      <c r="B6" s="94"/>
      <c r="C6" s="97"/>
      <c r="D6" s="68" t="s">
        <v>40</v>
      </c>
      <c r="E6" s="69" t="e">
        <f>H5</f>
        <v>#REF!</v>
      </c>
      <c r="F6" s="69" t="e">
        <f>SUMIFS(#REF!,#REF!,$D6&amp;"*")</f>
        <v>#REF!</v>
      </c>
      <c r="G6" s="69" t="e">
        <f>-SUMIFS(#REF!,#REF!,$D6&amp;"*")</f>
        <v>#REF!</v>
      </c>
      <c r="H6" s="69" t="e">
        <f t="shared" ref="H6:H16" si="0">SUM(E6:G6)</f>
        <v>#REF!</v>
      </c>
      <c r="I6" s="71"/>
      <c r="J6" s="69">
        <f>SUMIFS('컨텐츠별 매출 통계'!$CN:$CN,'컨텐츠별 매출 통계'!$CF:$CF,$D6)</f>
        <v>0</v>
      </c>
      <c r="K6" s="70" t="e">
        <f t="shared" ref="K6:K16" si="1">G6+J6</f>
        <v>#REF!</v>
      </c>
    </row>
    <row r="7" spans="2:12" x14ac:dyDescent="0.6">
      <c r="B7" s="94"/>
      <c r="C7" s="97"/>
      <c r="D7" s="68" t="s">
        <v>41</v>
      </c>
      <c r="E7" s="69" t="e">
        <f t="shared" ref="E7:E16" si="2">H6</f>
        <v>#REF!</v>
      </c>
      <c r="F7" s="69" t="e">
        <f>SUMIFS(#REF!,#REF!,$D7&amp;"*")</f>
        <v>#REF!</v>
      </c>
      <c r="G7" s="69" t="e">
        <f>-SUMIFS(#REF!,#REF!,$D7&amp;"*")</f>
        <v>#REF!</v>
      </c>
      <c r="H7" s="69" t="e">
        <f t="shared" si="0"/>
        <v>#REF!</v>
      </c>
      <c r="I7" s="71"/>
      <c r="J7" s="69">
        <f>SUMIFS('컨텐츠별 매출 통계'!$CN:$CN,'컨텐츠별 매출 통계'!$CF:$CF,$D7)</f>
        <v>0</v>
      </c>
      <c r="K7" s="70" t="e">
        <f t="shared" si="1"/>
        <v>#REF!</v>
      </c>
    </row>
    <row r="8" spans="2:12" x14ac:dyDescent="0.6">
      <c r="B8" s="94"/>
      <c r="C8" s="97"/>
      <c r="D8" s="68" t="s">
        <v>42</v>
      </c>
      <c r="E8" s="69" t="e">
        <f t="shared" si="2"/>
        <v>#REF!</v>
      </c>
      <c r="F8" s="69" t="e">
        <f>SUMIFS(#REF!,#REF!,$D8&amp;"*")</f>
        <v>#REF!</v>
      </c>
      <c r="G8" s="69" t="e">
        <f>-SUMIFS(#REF!,#REF!,$D8&amp;"*")</f>
        <v>#REF!</v>
      </c>
      <c r="H8" s="69" t="e">
        <f t="shared" si="0"/>
        <v>#REF!</v>
      </c>
      <c r="I8" s="70"/>
      <c r="J8" s="69">
        <f>SUMIFS('컨텐츠별 매출 통계'!$CN:$CN,'컨텐츠별 매출 통계'!$CF:$CF,$D8)</f>
        <v>0</v>
      </c>
      <c r="K8" s="70" t="e">
        <f t="shared" si="1"/>
        <v>#REF!</v>
      </c>
    </row>
    <row r="9" spans="2:12" x14ac:dyDescent="0.6">
      <c r="B9" s="94"/>
      <c r="C9" s="97"/>
      <c r="D9" s="68" t="s">
        <v>101</v>
      </c>
      <c r="E9" s="69" t="e">
        <f t="shared" si="2"/>
        <v>#REF!</v>
      </c>
      <c r="F9" s="69" t="e">
        <f>SUMIFS(#REF!,#REF!,$D9&amp;"*")</f>
        <v>#REF!</v>
      </c>
      <c r="G9" s="69" t="e">
        <f>-SUMIFS(#REF!,#REF!,$D9&amp;"*")</f>
        <v>#REF!</v>
      </c>
      <c r="H9" s="69" t="e">
        <f t="shared" si="0"/>
        <v>#REF!</v>
      </c>
      <c r="I9" s="71"/>
      <c r="J9" s="69">
        <f>SUMIFS('컨텐츠별 매출 통계'!$CN:$CN,'컨텐츠별 매출 통계'!$CF:$CF,$D9)</f>
        <v>0</v>
      </c>
      <c r="K9" s="70" t="e">
        <f t="shared" si="1"/>
        <v>#REF!</v>
      </c>
    </row>
    <row r="10" spans="2:12" x14ac:dyDescent="0.6">
      <c r="B10" s="94"/>
      <c r="C10" s="97"/>
      <c r="D10" s="68" t="s">
        <v>102</v>
      </c>
      <c r="E10" s="69" t="e">
        <f t="shared" si="2"/>
        <v>#REF!</v>
      </c>
      <c r="F10" s="69" t="e">
        <f>SUMIFS(#REF!,#REF!,$D10&amp;"*")</f>
        <v>#REF!</v>
      </c>
      <c r="G10" s="69" t="e">
        <f>-SUMIFS(#REF!,#REF!,$D10&amp;"*")</f>
        <v>#REF!</v>
      </c>
      <c r="H10" s="69" t="e">
        <f t="shared" si="0"/>
        <v>#REF!</v>
      </c>
      <c r="I10" s="71"/>
      <c r="J10" s="69">
        <f>SUMIFS('컨텐츠별 매출 통계'!$CN:$CN,'컨텐츠별 매출 통계'!$CF:$CF,$D10)</f>
        <v>0</v>
      </c>
      <c r="K10" s="70" t="e">
        <f t="shared" si="1"/>
        <v>#REF!</v>
      </c>
    </row>
    <row r="11" spans="2:12" x14ac:dyDescent="0.6">
      <c r="B11" s="94"/>
      <c r="C11" s="97"/>
      <c r="D11" s="68" t="s">
        <v>103</v>
      </c>
      <c r="E11" s="69" t="e">
        <f t="shared" si="2"/>
        <v>#REF!</v>
      </c>
      <c r="F11" s="69" t="e">
        <f>SUMIFS(#REF!,#REF!,$D11&amp;"*")</f>
        <v>#REF!</v>
      </c>
      <c r="G11" s="69" t="e">
        <f>-SUMIFS(#REF!,#REF!,$D11&amp;"*")</f>
        <v>#REF!</v>
      </c>
      <c r="H11" s="69" t="e">
        <f t="shared" si="0"/>
        <v>#REF!</v>
      </c>
      <c r="I11" s="71"/>
      <c r="J11" s="69">
        <f>SUMIFS('컨텐츠별 매출 통계'!$CN:$CN,'컨텐츠별 매출 통계'!$CF:$CF,$D11)</f>
        <v>0</v>
      </c>
      <c r="K11" s="70" t="e">
        <f t="shared" si="1"/>
        <v>#REF!</v>
      </c>
    </row>
    <row r="12" spans="2:12" x14ac:dyDescent="0.6">
      <c r="B12" s="94"/>
      <c r="C12" s="97"/>
      <c r="D12" s="68" t="s">
        <v>104</v>
      </c>
      <c r="E12" s="69" t="e">
        <f t="shared" si="2"/>
        <v>#REF!</v>
      </c>
      <c r="F12" s="69" t="e">
        <f>SUMIFS(#REF!,#REF!,$D12&amp;"*")</f>
        <v>#REF!</v>
      </c>
      <c r="G12" s="69" t="e">
        <f>-SUMIFS(#REF!,#REF!,$D12&amp;"*")</f>
        <v>#REF!</v>
      </c>
      <c r="H12" s="69" t="e">
        <f t="shared" si="0"/>
        <v>#REF!</v>
      </c>
      <c r="I12" s="71"/>
      <c r="J12" s="69">
        <f>SUMIFS('컨텐츠별 매출 통계'!$CN:$CN,'컨텐츠별 매출 통계'!$CF:$CF,$D12)</f>
        <v>0</v>
      </c>
      <c r="K12" s="70" t="e">
        <f t="shared" si="1"/>
        <v>#REF!</v>
      </c>
    </row>
    <row r="13" spans="2:12" x14ac:dyDescent="0.6">
      <c r="B13" s="94"/>
      <c r="C13" s="97"/>
      <c r="D13" s="68" t="s">
        <v>105</v>
      </c>
      <c r="E13" s="69" t="e">
        <f t="shared" si="2"/>
        <v>#REF!</v>
      </c>
      <c r="F13" s="69" t="e">
        <f>SUMIFS(#REF!,#REF!,$D13&amp;"*")</f>
        <v>#REF!</v>
      </c>
      <c r="G13" s="69" t="e">
        <f>-SUMIFS(#REF!,#REF!,$D13&amp;"*")</f>
        <v>#REF!</v>
      </c>
      <c r="H13" s="69" t="e">
        <f t="shared" si="0"/>
        <v>#REF!</v>
      </c>
      <c r="I13" s="71"/>
      <c r="J13" s="69">
        <f>SUMIFS('컨텐츠별 매출 통계'!$CN:$CN,'컨텐츠별 매출 통계'!$CF:$CF,$D13)</f>
        <v>0</v>
      </c>
      <c r="K13" s="70" t="e">
        <f t="shared" si="1"/>
        <v>#REF!</v>
      </c>
    </row>
    <row r="14" spans="2:12" x14ac:dyDescent="0.6">
      <c r="B14" s="94"/>
      <c r="C14" s="97"/>
      <c r="D14" s="68" t="s">
        <v>109</v>
      </c>
      <c r="E14" s="69" t="e">
        <f t="shared" si="2"/>
        <v>#REF!</v>
      </c>
      <c r="F14" s="69" t="e">
        <f>SUMIFS(#REF!,#REF!,$D14&amp;"*")</f>
        <v>#REF!</v>
      </c>
      <c r="G14" s="69" t="e">
        <f>-SUMIFS(#REF!,#REF!,$D14&amp;"*")</f>
        <v>#REF!</v>
      </c>
      <c r="H14" s="69" t="e">
        <f t="shared" si="0"/>
        <v>#REF!</v>
      </c>
      <c r="I14" s="71"/>
      <c r="J14" s="69">
        <f>SUMIFS('컨텐츠별 매출 통계'!$CN:$CN,'컨텐츠별 매출 통계'!$CF:$CF,$D14)</f>
        <v>0</v>
      </c>
      <c r="K14" s="70" t="e">
        <f t="shared" si="1"/>
        <v>#REF!</v>
      </c>
    </row>
    <row r="15" spans="2:12" x14ac:dyDescent="0.6">
      <c r="B15" s="94"/>
      <c r="C15" s="97"/>
      <c r="D15" s="68" t="s">
        <v>110</v>
      </c>
      <c r="E15" s="69" t="e">
        <f t="shared" si="2"/>
        <v>#REF!</v>
      </c>
      <c r="F15" s="69" t="e">
        <f>SUMIFS(#REF!,#REF!,$D15&amp;"*")</f>
        <v>#REF!</v>
      </c>
      <c r="G15" s="69" t="e">
        <f>-SUMIFS(#REF!,#REF!,$D15&amp;"*")</f>
        <v>#REF!</v>
      </c>
      <c r="H15" s="69" t="e">
        <f t="shared" si="0"/>
        <v>#REF!</v>
      </c>
      <c r="I15" s="71"/>
      <c r="J15" s="69">
        <f>SUMIFS('컨텐츠별 매출 통계'!$CN:$CN,'컨텐츠별 매출 통계'!$CF:$CF,$D15)</f>
        <v>0</v>
      </c>
      <c r="K15" s="70" t="e">
        <f t="shared" si="1"/>
        <v>#REF!</v>
      </c>
    </row>
    <row r="16" spans="2:12" x14ac:dyDescent="0.6">
      <c r="B16" s="95"/>
      <c r="C16" s="98"/>
      <c r="D16" s="68" t="s">
        <v>111</v>
      </c>
      <c r="E16" s="69" t="e">
        <f t="shared" si="2"/>
        <v>#REF!</v>
      </c>
      <c r="F16" s="69" t="e">
        <f>SUMIFS(#REF!,#REF!,$D16&amp;"*")</f>
        <v>#REF!</v>
      </c>
      <c r="G16" s="69" t="e">
        <f>-SUMIFS(#REF!,#REF!,$D16&amp;"*")</f>
        <v>#REF!</v>
      </c>
      <c r="H16" s="69" t="e">
        <f t="shared" si="0"/>
        <v>#REF!</v>
      </c>
      <c r="J16" s="69">
        <f>SUMIFS('컨텐츠별 매출 통계'!$CN:$CN,'컨텐츠별 매출 통계'!$CF:$CF,$D16)</f>
        <v>0</v>
      </c>
      <c r="K16" s="70" t="e">
        <f t="shared" si="1"/>
        <v>#REF!</v>
      </c>
      <c r="L16" s="92" t="s">
        <v>133</v>
      </c>
    </row>
    <row r="17" spans="2:11" ht="6" customHeight="1" x14ac:dyDescent="0.6">
      <c r="B17" s="72"/>
      <c r="C17" s="72"/>
      <c r="D17" s="72"/>
      <c r="E17" s="73"/>
      <c r="F17" s="74"/>
      <c r="G17" s="74"/>
      <c r="H17" s="73"/>
      <c r="J17" s="74"/>
    </row>
    <row r="18" spans="2:11" x14ac:dyDescent="0.6">
      <c r="B18" s="76"/>
      <c r="D18" s="2"/>
      <c r="E18" s="73"/>
      <c r="F18" s="73"/>
      <c r="G18" s="73"/>
      <c r="H18" s="73"/>
      <c r="J18" s="73"/>
      <c r="K18" s="71" t="e">
        <f>K16='1월_세금계산서'!J27</f>
        <v>#REF!</v>
      </c>
    </row>
    <row r="19" spans="2:11" x14ac:dyDescent="0.6">
      <c r="B19" s="76" t="s">
        <v>128</v>
      </c>
      <c r="D19" s="2"/>
      <c r="E19" s="73"/>
      <c r="F19" s="73"/>
      <c r="G19" s="73"/>
      <c r="J19" s="73"/>
    </row>
    <row r="20" spans="2:11" s="71" customFormat="1" x14ac:dyDescent="0.6">
      <c r="B20" s="76" t="s">
        <v>129</v>
      </c>
      <c r="C20"/>
      <c r="D20" s="2"/>
      <c r="E20" s="73"/>
      <c r="F20" s="73"/>
      <c r="G20" s="73"/>
      <c r="H20" s="73"/>
      <c r="I20"/>
      <c r="J20" s="73"/>
    </row>
    <row r="21" spans="2:11" s="71" customFormat="1" x14ac:dyDescent="0.6">
      <c r="B21"/>
      <c r="C21"/>
      <c r="D21" s="2"/>
      <c r="E21" s="77"/>
      <c r="F21" s="77"/>
      <c r="G21" s="77"/>
      <c r="H21" s="77"/>
      <c r="I21"/>
      <c r="J21" s="77"/>
    </row>
    <row r="22" spans="2:11" s="71" customFormat="1" x14ac:dyDescent="0.6">
      <c r="B22"/>
      <c r="C22"/>
      <c r="D22" s="2"/>
      <c r="E22" s="77"/>
      <c r="F22" s="77"/>
      <c r="G22" s="77"/>
      <c r="H22" s="77"/>
      <c r="I22"/>
      <c r="J22" s="77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dimension ref="A1:CV28"/>
  <sheetViews>
    <sheetView showGridLines="0" zoomScale="90" zoomScaleNormal="90" workbookViewId="0">
      <pane ySplit="6" topLeftCell="A7" activePane="bottomLeft" state="frozen"/>
      <selection pane="bottomLeft" activeCell="BX29" sqref="BX29"/>
    </sheetView>
  </sheetViews>
  <sheetFormatPr defaultRowHeight="16.899999999999999" outlineLevelCol="1" x14ac:dyDescent="0.6"/>
  <cols>
    <col min="1" max="1" width="16.375" style="1" customWidth="1"/>
    <col min="2" max="2" width="8.12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3.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4375" style="3" hidden="1" customWidth="1" outlineLevel="1"/>
    <col min="70" max="70" width="14.9375" style="3" hidden="1" customWidth="1" outlineLevel="1"/>
    <col min="71" max="71" width="11.8125" style="3" hidden="1" customWidth="1" outlineLevel="1"/>
    <col min="72" max="72" width="9.5" style="1" customWidth="1" collapsed="1"/>
    <col min="73" max="73" width="10.187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8" width="9.375" style="1" customWidth="1"/>
    <col min="79" max="79" width="11.1875" style="1" bestFit="1" customWidth="1"/>
    <col min="80" max="80" width="10.1875" style="1" bestFit="1" customWidth="1"/>
    <col min="81" max="82" width="11.1875" style="1" bestFit="1" customWidth="1"/>
    <col min="83" max="83" width="3.75" style="1" bestFit="1" customWidth="1"/>
    <col min="84" max="85" width="7.375" style="2" bestFit="1" customWidth="1"/>
    <col min="86" max="86" width="14.375" style="2" bestFit="1" customWidth="1"/>
    <col min="87" max="87" width="10.375" style="2" customWidth="1"/>
    <col min="88" max="88" width="7.5" style="2" hidden="1" customWidth="1"/>
    <col min="89" max="89" width="11.125" style="2" hidden="1" customWidth="1"/>
    <col min="90" max="90" width="9.0625" style="2" bestFit="1" customWidth="1"/>
    <col min="91" max="91" width="9" style="2" hidden="1" customWidth="1"/>
    <col min="92" max="92" width="11.1875" style="2" bestFit="1" customWidth="1"/>
    <col min="93" max="93" width="7.5625" style="2" bestFit="1" customWidth="1"/>
    <col min="94" max="94" width="11.1875" style="2" bestFit="1" customWidth="1"/>
    <col min="95" max="95" width="1.625" style="1" customWidth="1"/>
    <col min="96" max="96" width="43.0625" style="1" bestFit="1" customWidth="1"/>
    <col min="97" max="97" width="9.1875" style="1" bestFit="1" customWidth="1"/>
    <col min="98" max="98" width="16.1875" style="1" bestFit="1" customWidth="1"/>
    <col min="99" max="99" width="17.0625" style="1" bestFit="1" customWidth="1"/>
    <col min="100" max="100" width="11.1875" style="1" bestFit="1" customWidth="1"/>
  </cols>
  <sheetData>
    <row r="1" spans="1:100" x14ac:dyDescent="0.6">
      <c r="A1" s="7" t="s">
        <v>67</v>
      </c>
    </row>
    <row r="3" spans="1:100" ht="19.5" customHeight="1" x14ac:dyDescent="0.6">
      <c r="A3" s="99" t="s">
        <v>0</v>
      </c>
      <c r="B3" s="99"/>
      <c r="C3" s="99"/>
      <c r="D3" s="99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100" t="s">
        <v>1</v>
      </c>
      <c r="B5" s="100" t="s">
        <v>2</v>
      </c>
      <c r="C5" s="101" t="s">
        <v>3</v>
      </c>
      <c r="D5" s="100" t="s">
        <v>4</v>
      </c>
      <c r="E5" s="100" t="s">
        <v>5</v>
      </c>
      <c r="F5" s="100" t="s">
        <v>6</v>
      </c>
      <c r="G5" s="101" t="s">
        <v>7</v>
      </c>
      <c r="H5" s="101" t="s">
        <v>8</v>
      </c>
      <c r="I5" s="102" t="s">
        <v>9</v>
      </c>
      <c r="J5" s="102"/>
      <c r="K5" s="102"/>
      <c r="L5" s="102"/>
      <c r="M5" s="102"/>
      <c r="N5" s="102"/>
      <c r="O5" s="102"/>
      <c r="P5" s="102"/>
      <c r="Q5" s="102"/>
      <c r="R5" s="103" t="s">
        <v>10</v>
      </c>
      <c r="S5" s="103"/>
      <c r="T5" s="103"/>
      <c r="U5" s="103"/>
      <c r="V5" s="103"/>
      <c r="W5" s="103"/>
      <c r="X5" s="103"/>
      <c r="Y5" s="103"/>
      <c r="Z5" s="103"/>
      <c r="AA5" s="102" t="s">
        <v>11</v>
      </c>
      <c r="AB5" s="102"/>
      <c r="AC5" s="102"/>
      <c r="AD5" s="103" t="s">
        <v>12</v>
      </c>
      <c r="AE5" s="103"/>
      <c r="AF5" s="103"/>
      <c r="AG5" s="102" t="s">
        <v>13</v>
      </c>
      <c r="AH5" s="102"/>
      <c r="AI5" s="102"/>
      <c r="AJ5" s="103" t="s">
        <v>14</v>
      </c>
      <c r="AK5" s="103"/>
      <c r="AL5" s="103"/>
      <c r="AM5" s="102" t="s">
        <v>15</v>
      </c>
      <c r="AN5" s="102"/>
      <c r="AO5" s="102"/>
      <c r="AP5" s="103" t="s">
        <v>16</v>
      </c>
      <c r="AQ5" s="103"/>
      <c r="AR5" s="103"/>
      <c r="AS5" s="102" t="s">
        <v>17</v>
      </c>
      <c r="AT5" s="102"/>
      <c r="AU5" s="102"/>
      <c r="AV5" s="103" t="s">
        <v>18</v>
      </c>
      <c r="AW5" s="103"/>
      <c r="AX5" s="103"/>
      <c r="AY5" s="102" t="s">
        <v>19</v>
      </c>
      <c r="AZ5" s="102"/>
      <c r="BA5" s="102"/>
      <c r="BB5" s="103" t="s">
        <v>20</v>
      </c>
      <c r="BC5" s="103"/>
      <c r="BD5" s="103"/>
      <c r="BE5" s="102" t="s">
        <v>21</v>
      </c>
      <c r="BF5" s="102"/>
      <c r="BG5" s="102"/>
      <c r="BH5" s="103" t="s">
        <v>22</v>
      </c>
      <c r="BI5" s="103"/>
      <c r="BJ5" s="103"/>
      <c r="BK5" s="102" t="s">
        <v>23</v>
      </c>
      <c r="BL5" s="102"/>
      <c r="BM5" s="102"/>
      <c r="BN5" s="103" t="s">
        <v>24</v>
      </c>
      <c r="BO5" s="103"/>
      <c r="BP5" s="103"/>
      <c r="BQ5" s="104" t="s">
        <v>25</v>
      </c>
      <c r="BR5" s="104" t="s">
        <v>26</v>
      </c>
      <c r="BS5" s="104" t="s">
        <v>27</v>
      </c>
      <c r="BT5" s="116" t="s">
        <v>66</v>
      </c>
      <c r="BU5" s="116" t="s">
        <v>65</v>
      </c>
      <c r="BV5" s="116" t="s">
        <v>64</v>
      </c>
      <c r="BW5" s="116" t="s">
        <v>63</v>
      </c>
      <c r="BX5" s="116" t="s">
        <v>62</v>
      </c>
      <c r="BY5" s="116" t="s">
        <v>61</v>
      </c>
      <c r="BZ5" s="116" t="s">
        <v>60</v>
      </c>
      <c r="CA5" s="116" t="s">
        <v>59</v>
      </c>
      <c r="CB5" s="116" t="s">
        <v>58</v>
      </c>
      <c r="CC5" s="119" t="s">
        <v>44</v>
      </c>
      <c r="CD5" s="107" t="s">
        <v>57</v>
      </c>
      <c r="CF5" s="109" t="s">
        <v>56</v>
      </c>
      <c r="CG5" s="111" t="s">
        <v>55</v>
      </c>
      <c r="CH5" s="111" t="s">
        <v>54</v>
      </c>
      <c r="CI5" s="113" t="s">
        <v>53</v>
      </c>
      <c r="CJ5" s="113" t="s">
        <v>52</v>
      </c>
      <c r="CK5" s="113" t="s">
        <v>27</v>
      </c>
      <c r="CL5" s="117" t="s">
        <v>51</v>
      </c>
      <c r="CM5" s="105" t="s">
        <v>50</v>
      </c>
      <c r="CN5" s="107" t="s">
        <v>68</v>
      </c>
      <c r="CO5" s="107" t="s">
        <v>69</v>
      </c>
      <c r="CP5" s="107" t="s">
        <v>70</v>
      </c>
      <c r="CR5" s="115" t="s">
        <v>49</v>
      </c>
      <c r="CS5" s="115" t="s">
        <v>48</v>
      </c>
      <c r="CT5" s="115" t="s">
        <v>47</v>
      </c>
      <c r="CU5" s="115" t="s">
        <v>46</v>
      </c>
      <c r="CV5" s="115" t="s">
        <v>45</v>
      </c>
    </row>
    <row r="6" spans="1:100" ht="27" customHeight="1" x14ac:dyDescent="0.6">
      <c r="A6" s="100"/>
      <c r="B6" s="100"/>
      <c r="C6" s="101"/>
      <c r="D6" s="100"/>
      <c r="E6" s="100"/>
      <c r="F6" s="100"/>
      <c r="G6" s="101"/>
      <c r="H6" s="101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104"/>
      <c r="BR6" s="104"/>
      <c r="BS6" s="104"/>
      <c r="BT6" s="116"/>
      <c r="BU6" s="116"/>
      <c r="BV6" s="116"/>
      <c r="BW6" s="116"/>
      <c r="BX6" s="116"/>
      <c r="BY6" s="116"/>
      <c r="BZ6" s="116"/>
      <c r="CA6" s="116"/>
      <c r="CB6" s="116"/>
      <c r="CC6" s="119" t="s">
        <v>44</v>
      </c>
      <c r="CD6" s="108"/>
      <c r="CF6" s="110"/>
      <c r="CG6" s="112"/>
      <c r="CH6" s="112"/>
      <c r="CI6" s="114"/>
      <c r="CJ6" s="114"/>
      <c r="CK6" s="114"/>
      <c r="CL6" s="118"/>
      <c r="CM6" s="106"/>
      <c r="CN6" s="108"/>
      <c r="CO6" s="108"/>
      <c r="CP6" s="108"/>
      <c r="CR6" s="115"/>
      <c r="CS6" s="115"/>
      <c r="CT6" s="115"/>
      <c r="CU6" s="115"/>
      <c r="CV6" s="115"/>
    </row>
    <row r="7" spans="1:100" s="51" customFormat="1" ht="13.15" x14ac:dyDescent="0.6">
      <c r="A7" s="85" t="s">
        <v>106</v>
      </c>
      <c r="B7" s="85">
        <v>675775</v>
      </c>
      <c r="C7" s="86"/>
      <c r="D7" s="85" t="s">
        <v>135</v>
      </c>
      <c r="E7" s="85" t="s">
        <v>124</v>
      </c>
      <c r="F7" s="85" t="s">
        <v>125</v>
      </c>
      <c r="G7" s="51" t="s">
        <v>126</v>
      </c>
      <c r="H7" s="51" t="s">
        <v>136</v>
      </c>
      <c r="I7" s="51">
        <v>45</v>
      </c>
      <c r="J7" s="87">
        <v>847289</v>
      </c>
      <c r="K7" s="87">
        <v>13500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87">
        <v>141663</v>
      </c>
      <c r="AB7" s="87">
        <v>18612480</v>
      </c>
      <c r="AC7" s="87">
        <v>22129550</v>
      </c>
      <c r="AD7" s="87">
        <v>3462</v>
      </c>
      <c r="AE7" s="87">
        <v>889660</v>
      </c>
      <c r="AF7" s="87">
        <v>798785</v>
      </c>
      <c r="AG7" s="87">
        <v>84676</v>
      </c>
      <c r="AH7" s="87">
        <v>21864398</v>
      </c>
      <c r="AI7" s="87">
        <v>6956900</v>
      </c>
      <c r="AJ7" s="87">
        <v>1145</v>
      </c>
      <c r="AK7" s="87">
        <v>449758</v>
      </c>
      <c r="AL7" s="87">
        <v>186100</v>
      </c>
      <c r="AM7" s="87">
        <v>15118</v>
      </c>
      <c r="AN7" s="87">
        <v>4382800</v>
      </c>
      <c r="AO7" s="87">
        <v>101100</v>
      </c>
      <c r="AP7" s="87">
        <v>1013</v>
      </c>
      <c r="AQ7" s="87">
        <v>494100</v>
      </c>
      <c r="AR7" s="87">
        <v>16500</v>
      </c>
      <c r="AS7" s="87">
        <v>28254</v>
      </c>
      <c r="AT7" s="87">
        <v>10005545</v>
      </c>
      <c r="AU7" s="87">
        <v>31600</v>
      </c>
      <c r="AV7" s="51">
        <v>611</v>
      </c>
      <c r="AW7" s="87">
        <v>374435</v>
      </c>
      <c r="AX7" s="87">
        <v>1200</v>
      </c>
      <c r="AY7" s="87">
        <v>72420</v>
      </c>
      <c r="AZ7" s="87">
        <v>25640280</v>
      </c>
      <c r="BA7" s="87">
        <v>73800</v>
      </c>
      <c r="BB7" s="87">
        <v>1082</v>
      </c>
      <c r="BC7" s="87">
        <v>637800</v>
      </c>
      <c r="BD7" s="87">
        <v>2800</v>
      </c>
      <c r="BE7" s="87">
        <v>3809</v>
      </c>
      <c r="BF7" s="87">
        <v>1327920</v>
      </c>
      <c r="BG7" s="87">
        <v>6400</v>
      </c>
      <c r="BH7" s="87">
        <v>586</v>
      </c>
      <c r="BI7" s="87">
        <v>343680</v>
      </c>
      <c r="BJ7" s="87">
        <v>500</v>
      </c>
      <c r="BK7" s="51">
        <v>506</v>
      </c>
      <c r="BL7" s="87">
        <v>149800</v>
      </c>
      <c r="BM7" s="51">
        <v>0</v>
      </c>
      <c r="BN7" s="51">
        <v>21</v>
      </c>
      <c r="BO7" s="87">
        <v>11000</v>
      </c>
      <c r="BP7" s="51">
        <v>0</v>
      </c>
      <c r="BQ7" s="88">
        <v>183</v>
      </c>
      <c r="BR7" s="88">
        <v>10986485.699999999</v>
      </c>
      <c r="BS7" s="89">
        <v>115502391</v>
      </c>
      <c r="BT7" s="79">
        <f t="shared" ref="BT7" si="0">BF7+BI7</f>
        <v>1671600</v>
      </c>
      <c r="BU7" s="79">
        <f>AC7+AF7+AI7+AL7+AO7+AR7+AU7+AX7+BA7+BD7+BG7+BJ7+BM7+BP7+K7</f>
        <v>30318735</v>
      </c>
      <c r="BV7" s="79">
        <f t="shared" ref="BV7" si="1">AQ7+AN7+AB7+AE7</f>
        <v>24379040</v>
      </c>
      <c r="BW7" s="79">
        <f t="shared" ref="BW7" si="2">AT7+AW7</f>
        <v>10379980</v>
      </c>
      <c r="BX7" s="79">
        <f t="shared" ref="BX7" si="3">BC7+AZ7</f>
        <v>26278080</v>
      </c>
      <c r="BY7" s="79">
        <f t="shared" ref="BY7" si="4">BL7+BO7</f>
        <v>160800</v>
      </c>
      <c r="BZ7" s="79">
        <f t="shared" ref="BZ7" si="5">AH7+AK7</f>
        <v>22314156</v>
      </c>
      <c r="CA7" s="79">
        <f t="shared" ref="CA7" si="6">SUM(BT7:BZ7)</f>
        <v>115502391</v>
      </c>
      <c r="CB7" s="91">
        <f>ROUND(((BT7*$BT$4)+(BU7*$BU$4)+(BV7*$BV$4)+(BW7*$BW$4)+(BX7*$BX$4)+(BY7*$BY$4)+(BZ7*$BZ$4)),0)-6</f>
        <v>10986485</v>
      </c>
      <c r="CC7" s="79">
        <f t="shared" ref="CC7" si="7">CA7-CB7</f>
        <v>104515906</v>
      </c>
      <c r="CD7" s="80">
        <f t="shared" ref="CD7" si="8">ROUND(CC7*$CD$4,0)</f>
        <v>62709544</v>
      </c>
      <c r="CE7" s="81"/>
      <c r="CF7" s="82" t="s">
        <v>134</v>
      </c>
      <c r="CG7" s="82" t="str">
        <f t="shared" ref="CG7" si="9">CF7</f>
        <v>2026-01</v>
      </c>
      <c r="CH7" s="83" t="s">
        <v>107</v>
      </c>
      <c r="CI7" s="83">
        <f t="shared" ref="CI7" si="10">CD7</f>
        <v>62709544</v>
      </c>
      <c r="CJ7" s="83">
        <v>0</v>
      </c>
      <c r="CK7" s="83">
        <f t="shared" ref="CK7" si="11">CI7+CJ7</f>
        <v>62709544</v>
      </c>
      <c r="CL7" s="83">
        <v>1</v>
      </c>
      <c r="CM7" s="83"/>
      <c r="CN7" s="83">
        <f t="shared" ref="CN7:CO7" si="12">CI7+CL7</f>
        <v>62709545</v>
      </c>
      <c r="CO7" s="83">
        <f t="shared" si="12"/>
        <v>0</v>
      </c>
      <c r="CP7" s="83">
        <f t="shared" ref="CP7" si="13">CN7+CO7</f>
        <v>62709545</v>
      </c>
      <c r="CR7" s="50" t="str">
        <f t="shared" ref="CR7" si="14">CF7&amp;"월국내유상이용권_웹툰&lt;"&amp;CH7&amp;"&gt;"</f>
        <v>2026-01월국내유상이용권_웹툰&lt;두 남자의 비서 사이&gt;</v>
      </c>
      <c r="CS7" s="50" t="s">
        <v>127</v>
      </c>
      <c r="CT7" s="50" t="s">
        <v>106</v>
      </c>
      <c r="CU7" s="50" t="s">
        <v>43</v>
      </c>
      <c r="CV7" s="84">
        <f t="shared" ref="CV7" si="15">CN7</f>
        <v>62709545</v>
      </c>
    </row>
    <row r="8" spans="1:100" s="42" customFormat="1" ht="13.15" x14ac:dyDescent="0.6">
      <c r="A8" s="34"/>
      <c r="B8" s="34"/>
      <c r="C8" s="41"/>
      <c r="D8" s="34"/>
      <c r="E8" s="34"/>
      <c r="F8" s="34"/>
      <c r="J8" s="43"/>
      <c r="AB8" s="43"/>
      <c r="AC8" s="43"/>
      <c r="AH8" s="43"/>
      <c r="AI8" s="43"/>
      <c r="AT8" s="43"/>
      <c r="AZ8" s="43"/>
      <c r="BL8" s="43"/>
      <c r="BR8" s="44"/>
      <c r="BS8" s="45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7"/>
      <c r="CE8" s="48"/>
      <c r="CF8" s="37"/>
      <c r="CG8" s="37"/>
      <c r="CH8" s="38"/>
      <c r="CI8" s="38"/>
      <c r="CJ8" s="38"/>
      <c r="CK8" s="38"/>
      <c r="CL8" s="38"/>
      <c r="CM8" s="38"/>
      <c r="CN8" s="38"/>
      <c r="CO8" s="38"/>
      <c r="CP8" s="38"/>
      <c r="CR8" s="39"/>
      <c r="CS8" s="39"/>
      <c r="CT8" s="39"/>
      <c r="CU8" s="39"/>
      <c r="CV8" s="40"/>
    </row>
    <row r="9" spans="1:100" s="42" customFormat="1" ht="13.15" x14ac:dyDescent="0.6">
      <c r="A9" s="34"/>
      <c r="B9" s="34"/>
      <c r="C9" s="41"/>
      <c r="D9" s="34"/>
      <c r="E9" s="34"/>
      <c r="F9" s="34"/>
      <c r="J9" s="43"/>
      <c r="AB9" s="43"/>
      <c r="AC9" s="43"/>
      <c r="AE9" s="43"/>
      <c r="AH9" s="43"/>
      <c r="AI9" s="43"/>
      <c r="AN9" s="43"/>
      <c r="AT9" s="43"/>
      <c r="AZ9" s="43"/>
      <c r="BL9" s="43"/>
      <c r="BR9" s="44"/>
      <c r="BS9" s="45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7"/>
      <c r="CE9" s="48"/>
      <c r="CF9" s="37"/>
      <c r="CG9" s="37"/>
      <c r="CH9" s="38"/>
      <c r="CI9" s="38"/>
      <c r="CJ9" s="38"/>
      <c r="CK9" s="38"/>
      <c r="CL9" s="38"/>
      <c r="CM9" s="38"/>
      <c r="CN9" s="38"/>
      <c r="CO9" s="38"/>
      <c r="CP9" s="38"/>
      <c r="CR9" s="39"/>
      <c r="CS9" s="39"/>
      <c r="CT9" s="39"/>
      <c r="CU9" s="39"/>
      <c r="CV9" s="40"/>
    </row>
    <row r="10" spans="1:100" s="42" customFormat="1" ht="13.15" x14ac:dyDescent="0.6">
      <c r="A10" s="34"/>
      <c r="B10" s="34"/>
      <c r="C10" s="41"/>
      <c r="D10" s="34"/>
      <c r="E10" s="34"/>
      <c r="F10" s="34"/>
      <c r="J10" s="43"/>
      <c r="AB10" s="43"/>
      <c r="AC10" s="43"/>
      <c r="AE10" s="43"/>
      <c r="AH10" s="43"/>
      <c r="AI10" s="43"/>
      <c r="AN10" s="43"/>
      <c r="AT10" s="43"/>
      <c r="AZ10" s="43"/>
      <c r="BL10" s="43"/>
      <c r="BR10" s="44"/>
      <c r="BS10" s="45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7"/>
      <c r="CE10" s="48"/>
      <c r="CF10" s="37"/>
      <c r="CG10" s="37"/>
      <c r="CH10" s="38"/>
      <c r="CI10" s="38"/>
      <c r="CJ10" s="38"/>
      <c r="CK10" s="38"/>
      <c r="CL10" s="38"/>
      <c r="CM10" s="38"/>
      <c r="CN10" s="38"/>
      <c r="CO10" s="38"/>
      <c r="CP10" s="38"/>
      <c r="CR10" s="39"/>
      <c r="CS10" s="39"/>
      <c r="CT10" s="39"/>
      <c r="CU10" s="39"/>
      <c r="CV10" s="40"/>
    </row>
    <row r="11" spans="1:100" s="42" customFormat="1" ht="13.15" x14ac:dyDescent="0.6">
      <c r="A11" s="34"/>
      <c r="B11" s="34"/>
      <c r="C11" s="41"/>
      <c r="D11" s="34"/>
      <c r="E11" s="34"/>
      <c r="F11" s="34"/>
      <c r="J11" s="43"/>
      <c r="AB11" s="43"/>
      <c r="AC11" s="43"/>
      <c r="AH11" s="43"/>
      <c r="AI11" s="43"/>
      <c r="AN11" s="43"/>
      <c r="AT11" s="43"/>
      <c r="AZ11" s="43"/>
      <c r="BL11" s="43"/>
      <c r="BR11" s="44"/>
      <c r="BS11" s="45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7"/>
      <c r="CF11" s="37"/>
      <c r="CG11" s="37"/>
      <c r="CH11" s="38"/>
      <c r="CI11" s="38"/>
      <c r="CJ11" s="38"/>
      <c r="CK11" s="38"/>
      <c r="CL11" s="38"/>
      <c r="CM11" s="38"/>
      <c r="CN11" s="38"/>
      <c r="CO11" s="38"/>
      <c r="CP11" s="38"/>
      <c r="CR11" s="39"/>
      <c r="CS11" s="39"/>
      <c r="CT11" s="39"/>
      <c r="CU11" s="39"/>
      <c r="CV11" s="40"/>
    </row>
    <row r="12" spans="1:100" s="42" customFormat="1" ht="13.15" x14ac:dyDescent="0.6">
      <c r="A12" s="34"/>
      <c r="B12" s="34"/>
      <c r="C12" s="41"/>
      <c r="D12" s="34"/>
      <c r="E12" s="34"/>
      <c r="F12" s="34"/>
      <c r="J12" s="43"/>
      <c r="AB12" s="43"/>
      <c r="AC12" s="43"/>
      <c r="AF12" s="43"/>
      <c r="AH12" s="43"/>
      <c r="AI12" s="43"/>
      <c r="AN12" s="43"/>
      <c r="AT12" s="43"/>
      <c r="AZ12" s="43"/>
      <c r="BR12" s="44"/>
      <c r="BS12" s="45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7"/>
      <c r="CF12" s="37"/>
      <c r="CG12" s="37"/>
      <c r="CH12" s="38"/>
      <c r="CI12" s="38"/>
      <c r="CJ12" s="38"/>
      <c r="CK12" s="38"/>
      <c r="CL12" s="38"/>
      <c r="CM12" s="38"/>
      <c r="CN12" s="38"/>
      <c r="CO12" s="38"/>
      <c r="CP12" s="38"/>
      <c r="CR12" s="39"/>
      <c r="CS12" s="39"/>
      <c r="CT12" s="39"/>
      <c r="CU12" s="39"/>
      <c r="CV12" s="40"/>
    </row>
    <row r="13" spans="1:100" s="42" customFormat="1" ht="13.15" x14ac:dyDescent="0.6">
      <c r="A13" s="34"/>
      <c r="B13" s="34"/>
      <c r="C13" s="41"/>
      <c r="D13" s="34"/>
      <c r="E13" s="34"/>
      <c r="F13" s="34"/>
      <c r="J13" s="43"/>
      <c r="AB13" s="43"/>
      <c r="AC13" s="43"/>
      <c r="AH13" s="43"/>
      <c r="AI13" s="43"/>
      <c r="AT13" s="43"/>
      <c r="AZ13" s="43"/>
      <c r="BL13" s="43"/>
      <c r="BR13" s="44"/>
      <c r="BS13" s="45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7"/>
      <c r="CF13" s="37"/>
      <c r="CG13" s="37"/>
      <c r="CH13" s="38"/>
      <c r="CI13" s="38"/>
      <c r="CJ13" s="38"/>
      <c r="CK13" s="38"/>
      <c r="CL13" s="38"/>
      <c r="CM13" s="38"/>
      <c r="CN13" s="38"/>
      <c r="CO13" s="38"/>
      <c r="CP13" s="38"/>
      <c r="CR13" s="39"/>
      <c r="CS13" s="39"/>
      <c r="CT13" s="39"/>
      <c r="CU13" s="39"/>
      <c r="CV13" s="40"/>
    </row>
    <row r="14" spans="1:100" s="42" customFormat="1" ht="13.15" x14ac:dyDescent="0.6">
      <c r="A14" s="34"/>
      <c r="B14" s="34"/>
      <c r="C14" s="41"/>
      <c r="D14" s="34"/>
      <c r="E14" s="34"/>
      <c r="F14" s="34"/>
      <c r="J14" s="43"/>
      <c r="AB14" s="43"/>
      <c r="AC14" s="43"/>
      <c r="AE14" s="43"/>
      <c r="AH14" s="43"/>
      <c r="AI14" s="43"/>
      <c r="AQ14" s="43"/>
      <c r="AT14" s="43"/>
      <c r="AZ14" s="43"/>
      <c r="BR14" s="44"/>
      <c r="BS14" s="45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F14" s="37"/>
      <c r="CG14" s="37"/>
      <c r="CH14" s="38"/>
      <c r="CI14" s="38"/>
      <c r="CJ14" s="38"/>
      <c r="CK14" s="38"/>
      <c r="CL14" s="38"/>
      <c r="CM14" s="38"/>
      <c r="CN14" s="38"/>
      <c r="CO14" s="38"/>
      <c r="CP14" s="38"/>
      <c r="CR14" s="39"/>
      <c r="CS14" s="39"/>
      <c r="CT14" s="39"/>
      <c r="CU14" s="39"/>
      <c r="CV14" s="40"/>
    </row>
    <row r="15" spans="1:100" s="42" customFormat="1" ht="13.15" x14ac:dyDescent="0.6">
      <c r="A15" s="34"/>
      <c r="B15" s="34"/>
      <c r="C15" s="41"/>
      <c r="D15" s="34"/>
      <c r="E15" s="34"/>
      <c r="F15" s="34"/>
      <c r="J15" s="43"/>
      <c r="AB15" s="43"/>
      <c r="AC15" s="43"/>
      <c r="AT15" s="43"/>
      <c r="AZ15" s="43"/>
      <c r="BR15" s="44"/>
      <c r="BS15" s="45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F15" s="37"/>
      <c r="CG15" s="37"/>
      <c r="CH15" s="38"/>
      <c r="CI15" s="38"/>
      <c r="CJ15" s="38"/>
      <c r="CK15" s="38"/>
      <c r="CL15" s="38"/>
      <c r="CM15" s="38"/>
      <c r="CN15" s="38"/>
      <c r="CO15" s="38"/>
      <c r="CP15" s="38"/>
      <c r="CR15" s="39"/>
      <c r="CS15" s="39"/>
      <c r="CT15" s="39"/>
      <c r="CU15" s="39"/>
      <c r="CV15" s="40"/>
    </row>
    <row r="16" spans="1:100" s="42" customFormat="1" ht="13.15" x14ac:dyDescent="0.6">
      <c r="A16" s="34"/>
      <c r="B16" s="34"/>
      <c r="C16" s="41"/>
      <c r="D16" s="34"/>
      <c r="E16" s="34"/>
      <c r="F16" s="34"/>
      <c r="J16" s="43"/>
      <c r="AB16" s="43"/>
      <c r="AC16" s="43"/>
      <c r="AH16" s="43"/>
      <c r="AI16" s="43"/>
      <c r="AT16" s="43"/>
      <c r="AZ16" s="43"/>
      <c r="BL16" s="43"/>
      <c r="BR16" s="44"/>
      <c r="BS16" s="45"/>
      <c r="BT16" s="46"/>
      <c r="BU16" s="46"/>
      <c r="BV16" s="46"/>
      <c r="BW16" s="46"/>
      <c r="BX16" s="46"/>
      <c r="BY16" s="46"/>
      <c r="BZ16" s="46"/>
      <c r="CA16" s="46"/>
      <c r="CB16" s="53"/>
      <c r="CC16" s="46"/>
      <c r="CD16" s="47"/>
      <c r="CF16" s="37"/>
      <c r="CG16" s="37"/>
      <c r="CH16" s="38"/>
      <c r="CI16" s="38"/>
      <c r="CJ16" s="38"/>
      <c r="CK16" s="38"/>
      <c r="CL16" s="38"/>
      <c r="CM16" s="38"/>
      <c r="CN16" s="38"/>
      <c r="CO16" s="38"/>
      <c r="CP16" s="38"/>
      <c r="CR16" s="39"/>
      <c r="CS16" s="39"/>
      <c r="CT16" s="39"/>
      <c r="CU16" s="39"/>
      <c r="CV16" s="40"/>
    </row>
    <row r="17" spans="1:100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7"/>
      <c r="AF17" s="58"/>
      <c r="AG17" s="57"/>
      <c r="AH17" s="58"/>
      <c r="AI17" s="58"/>
      <c r="AJ17" s="57"/>
      <c r="AK17" s="57"/>
      <c r="AL17" s="57"/>
      <c r="AM17" s="57"/>
      <c r="AN17" s="58"/>
      <c r="AO17" s="57"/>
      <c r="AP17" s="57"/>
      <c r="AQ17" s="57"/>
      <c r="AR17" s="57"/>
      <c r="AS17" s="57"/>
      <c r="AT17" s="58"/>
      <c r="AU17" s="57"/>
      <c r="AV17" s="57"/>
      <c r="AW17" s="57"/>
      <c r="AX17" s="57"/>
      <c r="AY17" s="57"/>
      <c r="AZ17" s="58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9"/>
      <c r="BS17" s="60"/>
      <c r="BT17" s="46"/>
      <c r="BU17" s="46"/>
      <c r="BV17" s="46"/>
      <c r="BW17" s="46"/>
      <c r="BX17" s="46"/>
      <c r="BY17" s="46"/>
      <c r="BZ17" s="46"/>
      <c r="CA17" s="46"/>
      <c r="CB17" s="53"/>
      <c r="CC17" s="46"/>
      <c r="CD17" s="47"/>
      <c r="CF17" s="37"/>
      <c r="CG17" s="37"/>
      <c r="CH17" s="38"/>
      <c r="CI17" s="38"/>
      <c r="CJ17" s="38"/>
      <c r="CK17" s="38"/>
      <c r="CL17" s="38"/>
      <c r="CM17" s="38"/>
      <c r="CN17" s="38"/>
      <c r="CO17" s="38"/>
      <c r="CP17" s="38"/>
      <c r="CQ17" s="42"/>
      <c r="CR17" s="39"/>
      <c r="CS17" s="39"/>
      <c r="CT17" s="39"/>
      <c r="CU17" s="39"/>
      <c r="CV17" s="40"/>
    </row>
    <row r="18" spans="1:100" s="42" customFormat="1" ht="13.15" x14ac:dyDescent="0.6"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7"/>
      <c r="CE18" s="51"/>
      <c r="CF18" s="37"/>
      <c r="CG18" s="37"/>
      <c r="CH18" s="38"/>
      <c r="CI18" s="38"/>
      <c r="CJ18" s="38"/>
      <c r="CK18" s="38"/>
      <c r="CL18" s="38"/>
      <c r="CM18" s="38"/>
      <c r="CN18" s="38"/>
      <c r="CO18" s="38"/>
      <c r="CP18" s="38"/>
      <c r="CR18" s="39"/>
      <c r="CS18" s="39"/>
      <c r="CT18" s="39"/>
      <c r="CU18" s="39"/>
      <c r="CV18" s="40"/>
    </row>
    <row r="19" spans="1:100" s="42" customFormat="1" ht="13.15" x14ac:dyDescent="0.6">
      <c r="A19" s="51"/>
      <c r="B19" s="51"/>
      <c r="C19" s="51"/>
      <c r="D19" s="51"/>
      <c r="E19" s="51"/>
      <c r="F19" s="51"/>
      <c r="G19" s="51"/>
      <c r="H19" s="51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1"/>
      <c r="BU19" s="51"/>
      <c r="BV19" s="51"/>
      <c r="BW19" s="51"/>
      <c r="BX19" s="51"/>
      <c r="BY19" s="51"/>
      <c r="BZ19" s="51"/>
      <c r="CA19" s="51"/>
      <c r="CB19" s="54"/>
      <c r="CC19" s="51"/>
      <c r="CD19" s="51"/>
      <c r="CE19" s="51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1"/>
      <c r="CR19" s="51"/>
      <c r="CS19" s="51"/>
      <c r="CT19" s="51"/>
      <c r="CU19" s="51"/>
      <c r="CV19" s="51"/>
    </row>
    <row r="20" spans="1:100" s="42" customFormat="1" ht="13.15" x14ac:dyDescent="0.6">
      <c r="A20" s="51"/>
      <c r="B20" s="51"/>
      <c r="C20" s="51"/>
      <c r="D20" s="51"/>
      <c r="E20" s="51"/>
      <c r="F20" s="51"/>
      <c r="G20" s="51"/>
      <c r="H20" s="51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1"/>
      <c r="CR20" s="51"/>
      <c r="CS20" s="51"/>
      <c r="CT20" s="51"/>
      <c r="CU20" s="51"/>
      <c r="CV20" s="51"/>
    </row>
    <row r="21" spans="1:100" s="42" customFormat="1" ht="13.15" x14ac:dyDescent="0.6">
      <c r="A21" s="51"/>
      <c r="B21" s="51"/>
      <c r="C21" s="51"/>
      <c r="D21" s="51"/>
      <c r="E21" s="51"/>
      <c r="F21" s="51"/>
      <c r="G21" s="51"/>
      <c r="H21" s="51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1"/>
      <c r="CR21" s="51"/>
      <c r="CS21" s="51"/>
      <c r="CT21" s="51"/>
      <c r="CU21" s="51"/>
      <c r="CV21" s="51"/>
    </row>
    <row r="22" spans="1:100" s="42" customFormat="1" ht="13.15" x14ac:dyDescent="0.6">
      <c r="A22" s="51"/>
      <c r="B22" s="51"/>
      <c r="C22" s="51"/>
      <c r="D22" s="51"/>
      <c r="E22" s="51"/>
      <c r="F22" s="51"/>
      <c r="G22" s="51"/>
      <c r="H22" s="51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1"/>
      <c r="CR22" s="51"/>
      <c r="CS22" s="51"/>
      <c r="CT22" s="51"/>
      <c r="CU22" s="51"/>
      <c r="CV22" s="51"/>
    </row>
    <row r="23" spans="1:100" s="42" customFormat="1" ht="13.15" x14ac:dyDescent="0.6">
      <c r="A23" s="51"/>
      <c r="B23" s="51"/>
      <c r="C23" s="51"/>
      <c r="D23" s="51"/>
      <c r="E23" s="51"/>
      <c r="F23" s="51"/>
      <c r="G23" s="51"/>
      <c r="H23" s="51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1"/>
      <c r="CR23" s="51"/>
      <c r="CS23" s="51"/>
      <c r="CT23" s="51"/>
      <c r="CU23" s="51"/>
      <c r="CV23" s="51"/>
    </row>
    <row r="24" spans="1:100" s="42" customFormat="1" ht="13.15" x14ac:dyDescent="0.6">
      <c r="A24" s="51"/>
      <c r="B24" s="51"/>
      <c r="C24" s="51"/>
      <c r="D24" s="51"/>
      <c r="E24" s="51"/>
      <c r="F24" s="51"/>
      <c r="G24" s="51"/>
      <c r="H24" s="51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1"/>
      <c r="CR24" s="51"/>
      <c r="CS24" s="51"/>
      <c r="CT24" s="51"/>
      <c r="CU24" s="51"/>
      <c r="CV24" s="51"/>
    </row>
    <row r="25" spans="1:100" s="42" customFormat="1" ht="13.15" x14ac:dyDescent="0.6">
      <c r="A25" s="51"/>
      <c r="B25" s="51"/>
      <c r="C25" s="51"/>
      <c r="D25" s="51"/>
      <c r="E25" s="51"/>
      <c r="F25" s="51"/>
      <c r="G25" s="51"/>
      <c r="H25" s="51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1"/>
      <c r="CR25" s="51"/>
      <c r="CS25" s="51"/>
      <c r="CT25" s="51"/>
      <c r="CU25" s="51"/>
      <c r="CV25" s="51"/>
    </row>
    <row r="26" spans="1:100" s="42" customFormat="1" ht="13.15" x14ac:dyDescent="0.6">
      <c r="A26" s="51"/>
      <c r="B26" s="51"/>
      <c r="C26" s="51"/>
      <c r="D26" s="51"/>
      <c r="E26" s="51"/>
      <c r="F26" s="51"/>
      <c r="G26" s="51"/>
      <c r="H26" s="51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1"/>
      <c r="CR26" s="51"/>
      <c r="CS26" s="51"/>
      <c r="CT26" s="51"/>
      <c r="CU26" s="51"/>
      <c r="CV26" s="51"/>
    </row>
    <row r="27" spans="1:100" s="42" customFormat="1" ht="13.15" x14ac:dyDescent="0.6">
      <c r="A27" s="51"/>
      <c r="B27" s="51"/>
      <c r="C27" s="51"/>
      <c r="D27" s="51"/>
      <c r="E27" s="51"/>
      <c r="F27" s="51"/>
      <c r="G27" s="51"/>
      <c r="H27" s="51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1"/>
      <c r="CR27" s="51"/>
      <c r="CS27" s="51"/>
      <c r="CT27" s="51"/>
      <c r="CU27" s="51"/>
      <c r="CV27" s="51"/>
    </row>
    <row r="28" spans="1:100" s="42" customFormat="1" ht="13.15" x14ac:dyDescent="0.6">
      <c r="A28" s="51"/>
      <c r="B28" s="51"/>
      <c r="C28" s="51"/>
      <c r="D28" s="51"/>
      <c r="E28" s="51"/>
      <c r="F28" s="51"/>
      <c r="G28" s="51"/>
      <c r="H28" s="51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1"/>
      <c r="CR28" s="51"/>
      <c r="CS28" s="51"/>
      <c r="CT28" s="51"/>
      <c r="CU28" s="51"/>
      <c r="CV28" s="51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dimension ref="B3:G6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 x14ac:dyDescent="0.6">
      <c r="B3" s="120" t="s">
        <v>86</v>
      </c>
      <c r="C3" s="120"/>
      <c r="D3" s="120"/>
      <c r="E3" s="120"/>
      <c r="F3" s="120"/>
      <c r="G3" s="120"/>
    </row>
    <row r="4" spans="2:7" x14ac:dyDescent="0.6">
      <c r="B4" s="23" t="s">
        <v>87</v>
      </c>
      <c r="C4" s="23" t="s">
        <v>88</v>
      </c>
      <c r="D4" s="23" t="s">
        <v>89</v>
      </c>
      <c r="E4" s="23" t="s">
        <v>93</v>
      </c>
      <c r="F4" s="23" t="s">
        <v>95</v>
      </c>
      <c r="G4" s="23" t="s">
        <v>90</v>
      </c>
    </row>
    <row r="5" spans="2:7" x14ac:dyDescent="0.6">
      <c r="B5" s="32" t="s">
        <v>116</v>
      </c>
      <c r="C5" s="32" t="s">
        <v>117</v>
      </c>
      <c r="D5" s="33" t="s">
        <v>91</v>
      </c>
      <c r="E5" s="32" t="s">
        <v>94</v>
      </c>
      <c r="F5" s="32" t="s">
        <v>96</v>
      </c>
      <c r="G5" s="32" t="s">
        <v>92</v>
      </c>
    </row>
    <row r="6" spans="2:7" x14ac:dyDescent="0.6">
      <c r="F6" s="78"/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1월_정산내역서</vt:lpstr>
      <vt:lpstr>1월_세금계산서</vt:lpstr>
      <vt:lpstr>월별 선수수익(MG)</vt:lpstr>
      <vt:lpstr>컨텐츠별 매출 통계</vt:lpstr>
      <vt:lpstr>로그인정보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2026-02-02T06:56:51Z</dcterms:modified>
</cp:coreProperties>
</file>