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BF9C1E81-8CEC-4675-A6C1-945AB382D1E6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2" r:id="rId1"/>
    <sheet name="1월_세금계산서" sheetId="13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7" i="8" l="1"/>
  <c r="CO7" i="8"/>
  <c r="CG7" i="8"/>
  <c r="BZ7" i="8"/>
  <c r="BY7" i="8"/>
  <c r="BX7" i="8"/>
  <c r="BW7" i="8"/>
  <c r="BV7" i="8"/>
  <c r="BU7" i="8"/>
  <c r="BT7" i="8"/>
  <c r="CB7" i="8" s="1"/>
  <c r="G26" i="12"/>
  <c r="D26" i="12" l="1"/>
  <c r="CA7" i="8"/>
  <c r="B24" i="12"/>
  <c r="C24" i="12"/>
  <c r="D24" i="12"/>
  <c r="E24" i="12"/>
  <c r="F24" i="12"/>
  <c r="G24" i="12"/>
  <c r="H24" i="12"/>
  <c r="I24" i="12"/>
  <c r="B26" i="12" l="1"/>
  <c r="CC7" i="8"/>
  <c r="H28" i="13"/>
  <c r="J28" i="13"/>
  <c r="I28" i="13"/>
  <c r="CD7" i="8" l="1"/>
  <c r="CI7" i="8" s="1"/>
  <c r="CN7" i="8" s="1"/>
  <c r="E26" i="12"/>
  <c r="CV7" i="8" l="1"/>
  <c r="F26" i="12"/>
  <c r="CP7" i="8"/>
  <c r="H26" i="12" s="1"/>
</calcChain>
</file>

<file path=xl/sharedStrings.xml><?xml version="1.0" encoding="utf-8"?>
<sst xmlns="http://schemas.openxmlformats.org/spreadsheetml/2006/main" count="181" uniqueCount="109">
  <si>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</si>
  <si>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</si>
  <si>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</si>
  <si>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</si>
  <si>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</si>
  <si>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</si>
  <si>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</si>
  <si>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</si>
  <si>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</si>
  <si>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</si>
  <si>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</si>
  <si>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</si>
  <si>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</si>
  <si>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</si>
  <si>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</si>
  <si>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</si>
  <si>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</si>
  <si>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</si>
  <si>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</si>
  <si>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</si>
  <si>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</si>
  <si>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</si>
  <si>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</si>
  <si>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</si>
  <si>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</si>
  <si>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</si>
  <si>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</si>
  <si>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</si>
  <si>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</si>
  <si>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</si>
  <si>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</si>
  <si>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</si>
  <si>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</si>
  <si>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</si>
  <si>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</si>
  <si>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</si>
  <si>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</si>
  <si>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</si>
  <si>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</si>
  <si>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15세 이상 이용가능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</si>
  <si>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</si>
  <si>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</si>
  <si>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</si>
  <si>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</si>
  <si>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</si>
  <si>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</si>
  <si>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</si>
  <si>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</si>
  <si>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</si>
  <si>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</si>
  <si>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</si>
  <si>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</si>
  <si>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</si>
  <si>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</si>
  <si>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</si>
  <si>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</si>
  <si>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</si>
  <si>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</si>
  <si>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</si>
  <si>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</si>
  <si>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</si>
  <si>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</si>
  <si>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</si>
  <si>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</si>
  <si>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</si>
  <si>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</si>
  <si>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</si>
  <si>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</si>
  <si>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</si>
  <si>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</si>
  <si>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</si>
  <si>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</si>
  <si>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</si>
  <si>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</si>
  <si>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</si>
  <si>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</si>
  <si>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</si>
  <si>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</si>
  <si>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</si>
  <si>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</si>
  <si>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</si>
  <si>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</si>
  <si>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</si>
  <si>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</si>
  <si>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</si>
  <si>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</si>
  <si>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</si>
  <si>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</si>
  <si>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</si>
  <si>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</si>
  <si>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</si>
  <si>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</si>
  <si>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</si>
  <si>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</si>
  <si>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</si>
  <si>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</si>
  <si>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유상이용권-원스토어</t>
  </si>
  <si>
    <t>유상금액보정</t>
  </si>
  <si>
    <t>fra01007</t>
  </si>
  <si>
    <t>chtla13!!</t>
  </si>
  <si>
    <t>외모지상주의</t>
  </si>
  <si>
    <t>더그림_외지주</t>
  </si>
  <si>
    <t>박태준</t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</si>
  <si>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</si>
  <si>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</si>
  <si>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</si>
  <si>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- 2025년 7월 [네이버웹툰 파트너십 프로그램]이 시작되어,  '무상 쿠키' 매출로 포함됩니다.(무상이용권 결제수수료율 상이)</t>
    <phoneticPr fontId="18" type="noConversion"/>
  </si>
  <si>
    <t>2026.01.29</t>
  </si>
  <si>
    <t>2026-01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</si>
</sst>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_-;\-* #,##0.000_-;_-* &quot;-&quot;_-;_-@_-"/>
    <numFmt numFmtId="177" formatCode="yyyy&quot;-&quot;mm"/>
    <numFmt numFmtId="178" formatCode="0.0000%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8"/>
      <color rgb="FFFF0000"/>
      <name val="나눔고딕"/>
      <family val="3"/>
      <charset val="129"/>
    </font>
    <font>
      <sz val="9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33" fillId="0" borderId="11" xfId="45" applyFont="1" applyFill="1" applyBorder="1" applyAlignment="1">
      <alignment horizontal="center" vertical="center"/>
    </xf>
    <xf numFmtId="41" fontId="34" fillId="0" borderId="0" xfId="1" applyFont="1" applyAlignment="1">
      <alignment horizontal="center" vertical="center"/>
    </xf>
    <xf numFmtId="0" fontId="35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178" fontId="0" fillId="0" borderId="0" xfId="2" applyNumberFormat="1" applyFont="1">
      <alignment vertical="center"/>
    </xf>
    <xf numFmtId="9" fontId="0" fillId="0" borderId="0" xfId="2" applyFont="1">
      <alignment vertical="center"/>
    </xf>
    <xf numFmtId="0" fontId="38" fillId="0" borderId="0" xfId="0" quotePrefix="1" applyFont="1">
      <alignment vertical="center"/>
    </xf>
    <xf numFmtId="41" fontId="19" fillId="0" borderId="0" xfId="0" applyNumberFormat="1" applyFont="1">
      <alignment vertical="center"/>
    </xf>
    <xf numFmtId="49" fontId="36" fillId="0" borderId="0" xfId="1" applyNumberFormat="1" applyFont="1" applyFill="1" applyAlignment="1">
      <alignment horizontal="center" vertical="center"/>
    </xf>
    <xf numFmtId="41" fontId="36" fillId="0" borderId="0" xfId="1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41" fontId="36" fillId="0" borderId="0" xfId="0" applyNumberFormat="1" applyFont="1" applyAlignment="1">
      <alignment horizontal="center" vertical="center"/>
    </xf>
    <xf numFmtId="41" fontId="39" fillId="0" borderId="0" xfId="1" applyFont="1" applyFill="1" applyAlignment="1">
      <alignment vertical="center"/>
    </xf>
    <xf numFmtId="41" fontId="36" fillId="0" borderId="0" xfId="1" applyFont="1" applyFill="1" applyBorder="1" applyAlignment="1">
      <alignment vertical="center"/>
    </xf>
    <xf numFmtId="176" fontId="36" fillId="0" borderId="0" xfId="1" applyNumberFormat="1" applyFont="1" applyFill="1" applyAlignment="1">
      <alignment vertical="center"/>
    </xf>
    <xf numFmtId="0" fontId="36" fillId="0" borderId="0" xfId="0" applyFont="1">
      <alignment vertical="center"/>
    </xf>
    <xf numFmtId="41" fontId="37" fillId="0" borderId="0" xfId="1" applyFont="1" applyFill="1" applyAlignment="1">
      <alignment vertical="center"/>
    </xf>
    <xf numFmtId="0" fontId="36" fillId="0" borderId="0" xfId="0" applyFont="1" applyAlignment="1">
      <alignment horizontal="left" vertical="center" wrapText="1"/>
    </xf>
    <xf numFmtId="49" fontId="36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3" fontId="36" fillId="0" borderId="0" xfId="0" applyNumberFormat="1" applyFont="1" applyAlignment="1">
      <alignment vertical="center" wrapText="1"/>
    </xf>
    <xf numFmtId="4" fontId="36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9" fontId="40" fillId="0" borderId="0" xfId="0" applyNumberFormat="1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152929</xdr:colOff>
      <xdr:row>1</xdr:row>
      <xdr:rowOff>190501</xdr:rowOff>
    </xdr:from>
    <xdr:to>
      <xdr:col>26</xdr:col>
      <xdr:colOff>36512</xdr:colOff>
      <xdr:row>21</xdr:row>
      <xdr:rowOff>191065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AF0EF3-9A86-8DFF-DD5E-3E50AA96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7012" y="412751"/>
          <a:ext cx="10890250" cy="4440802"/>
        </a:xfrm>
        <a:prstGeom prst="rect">
          <a:avLst/>
        </a:prstGeom>
      </xdr:spPr>
    </xdr:pic>
    <xdr:clientData/>
  </xdr:twoCellAnchor>
  <xdr:twoCellAnchor editAs="oneCell">
    <xdr:from>
      <xdr:col>10</xdr:col>
      <xdr:colOff>21167</xdr:colOff>
      <xdr:row>22</xdr:row>
      <xdr:rowOff>105833</xdr:rowOff>
    </xdr:from>
    <xdr:to>
      <xdr:col>25</xdr:col>
      <xdr:colOff>571375</xdr:colOff>
      <xdr:row>40</xdr:row>
      <xdr:rowOff>105833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71FF315-5AD6-735F-333E-9BA2892EB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5250" y="4995333"/>
          <a:ext cx="10864196" cy="400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544744</xdr:colOff>
      <xdr:row>23</xdr:row>
      <xdr:rowOff>9525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CFDF6EA-B0A2-F42C-53AC-E1B058D50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12382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2808-909F-488A-B128-217F13E3117F}">
  <sheetPr>
    <tabColor theme="0" tint="-0.249977111117893"/>
  </sheetPr>
  <dimension ref="A1:K27"/>
  <sheetViews>
    <sheetView showGridLines="0" tabSelected="1" zoomScale="90" zoomScaleNormal="90" workbookViewId="0">
      <selection activeCell="I30" sqref="I30"/>
    </sheetView>
  </sheetViews>
  <sheetFormatPr defaultRowHeight="16.899999999999999" x14ac:dyDescent="0.6"/>
  <cols>
    <col min="1" max="1" width="23.75" bestFit="1" customWidth="1"/>
    <col min="2" max="2" width="12.875" style="12" bestFit="1" customWidth="1"/>
    <col min="3" max="3" width="11.5" style="12" bestFit="1" customWidth="1"/>
    <col min="4" max="4" width="13" style="12" bestFit="1" customWidth="1"/>
    <col min="5" max="6" width="12.875" style="12" bestFit="1" customWidth="1"/>
    <col min="7" max="7" width="13" style="12" bestFit="1" customWidth="1"/>
    <col min="8" max="8" width="12.875" style="12" bestFit="1" customWidth="1"/>
    <col min="9" max="9" width="16.125" style="12" bestFit="1" customWidth="1"/>
    <col min="10" max="10" width="5.125" customWidth="1"/>
  </cols>
  <sheetData>
    <row r="1" spans="1:11" x14ac:dyDescent="0.6">
      <c r="A1" s="7" t="s">
        <v>95</v>
      </c>
    </row>
    <row r="3" spans="1:11" x14ac:dyDescent="0.6">
      <c r="A3" s="17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25" t="s">
        <v>73</v>
      </c>
      <c r="G3" s="25" t="s">
        <v>74</v>
      </c>
      <c r="H3" s="25" t="s">
        <v>75</v>
      </c>
      <c r="I3" s="18" t="s">
        <v>76</v>
      </c>
      <c r="J3" s="37"/>
      <c r="K3" s="38"/>
    </row>
    <row r="4" spans="1:11" x14ac:dyDescent="0.6">
      <c r="A4" s="9" t="s">
        <v>79</v>
      </c>
      <c r="B4" s="13">
        <v>96951845</v>
      </c>
      <c r="C4" s="13">
        <v>0</v>
      </c>
      <c r="D4" s="13">
        <v>9695184</v>
      </c>
      <c r="E4" s="13">
        <v>87256661</v>
      </c>
      <c r="F4" s="26">
        <v>61079662</v>
      </c>
      <c r="G4" s="26">
        <v>0</v>
      </c>
      <c r="H4" s="26">
        <v>61079662</v>
      </c>
      <c r="I4" s="13">
        <v>26176999</v>
      </c>
      <c r="J4" s="38"/>
      <c r="K4" s="38"/>
    </row>
    <row r="5" spans="1:11" x14ac:dyDescent="0.6">
      <c r="A5" s="9" t="s">
        <v>78</v>
      </c>
      <c r="B5" s="13">
        <v>115784247</v>
      </c>
      <c r="C5" s="13">
        <v>0</v>
      </c>
      <c r="D5" s="13">
        <v>11578425</v>
      </c>
      <c r="E5" s="13">
        <v>104205822</v>
      </c>
      <c r="F5" s="26">
        <v>72944076</v>
      </c>
      <c r="G5" s="26">
        <v>0</v>
      </c>
      <c r="H5" s="26">
        <v>72944076</v>
      </c>
      <c r="I5" s="13">
        <v>31261746</v>
      </c>
      <c r="J5" s="38"/>
      <c r="K5" s="38"/>
    </row>
    <row r="6" spans="1:11" x14ac:dyDescent="0.6">
      <c r="A6" s="9" t="s">
        <v>80</v>
      </c>
      <c r="B6" s="13">
        <v>874600</v>
      </c>
      <c r="C6" s="13">
        <v>0</v>
      </c>
      <c r="D6" s="13">
        <v>131190</v>
      </c>
      <c r="E6" s="13">
        <v>743410</v>
      </c>
      <c r="F6" s="26">
        <v>520387</v>
      </c>
      <c r="G6" s="26">
        <v>0</v>
      </c>
      <c r="H6" s="26">
        <v>520387</v>
      </c>
      <c r="I6" s="13">
        <v>223023</v>
      </c>
      <c r="J6" s="38"/>
      <c r="K6" s="38"/>
    </row>
    <row r="7" spans="1:11" x14ac:dyDescent="0.6">
      <c r="A7" s="9" t="s">
        <v>81</v>
      </c>
      <c r="B7" s="13">
        <v>88935081</v>
      </c>
      <c r="C7" s="13">
        <v>0</v>
      </c>
      <c r="D7" s="13">
        <v>6392060</v>
      </c>
      <c r="E7" s="13">
        <v>82543021</v>
      </c>
      <c r="F7" s="26">
        <v>57780115</v>
      </c>
      <c r="G7" s="26">
        <v>0</v>
      </c>
      <c r="H7" s="26">
        <v>57780115</v>
      </c>
      <c r="I7" s="13">
        <v>24762906</v>
      </c>
      <c r="J7" s="38"/>
      <c r="K7" s="38"/>
    </row>
    <row r="8" spans="1:11" x14ac:dyDescent="0.6">
      <c r="A8" s="9" t="s">
        <v>77</v>
      </c>
      <c r="B8" s="13">
        <v>172796529</v>
      </c>
      <c r="C8" s="13">
        <v>0</v>
      </c>
      <c r="D8" s="13">
        <v>51838959</v>
      </c>
      <c r="E8" s="13">
        <v>120957570</v>
      </c>
      <c r="F8" s="26">
        <v>84670299</v>
      </c>
      <c r="G8" s="26">
        <v>0</v>
      </c>
      <c r="H8" s="26">
        <v>84670299</v>
      </c>
      <c r="I8" s="13">
        <v>36287271</v>
      </c>
      <c r="J8" s="38"/>
      <c r="K8" s="38"/>
    </row>
    <row r="9" spans="1:11" x14ac:dyDescent="0.6">
      <c r="A9" s="9" t="s">
        <v>82</v>
      </c>
      <c r="B9" s="13">
        <v>77239080</v>
      </c>
      <c r="C9" s="13">
        <v>0</v>
      </c>
      <c r="D9" s="13">
        <v>7723908</v>
      </c>
      <c r="E9" s="13">
        <v>69515172</v>
      </c>
      <c r="F9" s="26">
        <v>48660620</v>
      </c>
      <c r="G9" s="26">
        <v>0</v>
      </c>
      <c r="H9" s="26">
        <v>48660620</v>
      </c>
      <c r="I9" s="13">
        <v>20854552</v>
      </c>
      <c r="J9" s="38"/>
      <c r="K9" s="38"/>
    </row>
    <row r="10" spans="1:11" x14ac:dyDescent="0.6">
      <c r="A10" s="9" t="s">
        <v>96</v>
      </c>
      <c r="B10" s="13">
        <v>182520</v>
      </c>
      <c r="C10" s="13">
        <v>0</v>
      </c>
      <c r="D10" s="13">
        <v>18252</v>
      </c>
      <c r="E10" s="13">
        <v>164268</v>
      </c>
      <c r="F10" s="26">
        <v>114988</v>
      </c>
      <c r="G10" s="26">
        <v>0</v>
      </c>
      <c r="H10" s="26">
        <v>114988</v>
      </c>
      <c r="I10" s="13">
        <v>49280</v>
      </c>
      <c r="J10" s="38"/>
      <c r="K10" s="38"/>
    </row>
    <row r="11" spans="1:11" x14ac:dyDescent="0.6">
      <c r="A11" s="9" t="s">
        <v>97</v>
      </c>
      <c r="B11" s="13">
        <v>1013</v>
      </c>
      <c r="C11" s="13">
        <v>0</v>
      </c>
      <c r="D11" s="13">
        <v>101</v>
      </c>
      <c r="E11" s="13">
        <v>912</v>
      </c>
      <c r="F11" s="26">
        <v>638</v>
      </c>
      <c r="G11" s="26">
        <v>0</v>
      </c>
      <c r="H11" s="26">
        <v>638</v>
      </c>
      <c r="I11" s="13">
        <v>274</v>
      </c>
      <c r="J11" s="38"/>
      <c r="K11" s="38"/>
    </row>
    <row r="12" spans="1:11" x14ac:dyDescent="0.6">
      <c r="A12" s="11" t="s">
        <v>27</v>
      </c>
      <c r="B12" s="14">
        <v>552764915</v>
      </c>
      <c r="C12" s="14">
        <v>0</v>
      </c>
      <c r="D12" s="14">
        <v>87378079</v>
      </c>
      <c r="E12" s="14">
        <v>465386836</v>
      </c>
      <c r="F12" s="27">
        <v>325770785</v>
      </c>
      <c r="G12" s="27">
        <v>0</v>
      </c>
      <c r="H12" s="27">
        <v>325770785</v>
      </c>
      <c r="I12" s="14">
        <v>139616051</v>
      </c>
      <c r="J12" s="38"/>
      <c r="K12" s="38"/>
    </row>
    <row r="13" spans="1:11" x14ac:dyDescent="0.6">
      <c r="F13" s="28"/>
      <c r="G13" s="28"/>
      <c r="H13" s="28"/>
      <c r="J13" s="38"/>
      <c r="K13" s="38"/>
    </row>
    <row r="14" spans="1:11" x14ac:dyDescent="0.6">
      <c r="A14" s="19" t="s">
        <v>68</v>
      </c>
      <c r="B14" s="20" t="s">
        <v>69</v>
      </c>
      <c r="C14" s="20" t="s">
        <v>70</v>
      </c>
      <c r="D14" s="20" t="s">
        <v>71</v>
      </c>
      <c r="E14" s="20" t="s">
        <v>72</v>
      </c>
      <c r="F14" s="29" t="s">
        <v>73</v>
      </c>
      <c r="G14" s="29" t="s">
        <v>74</v>
      </c>
      <c r="H14" s="29" t="s">
        <v>75</v>
      </c>
      <c r="I14" s="20" t="s">
        <v>76</v>
      </c>
      <c r="J14" s="38"/>
      <c r="K14" s="38"/>
    </row>
    <row r="15" spans="1:11" x14ac:dyDescent="0.6">
      <c r="A15" s="8" t="s">
        <v>77</v>
      </c>
      <c r="B15" s="15">
        <v>143115</v>
      </c>
      <c r="C15" s="15">
        <v>0</v>
      </c>
      <c r="D15" s="15">
        <v>42934</v>
      </c>
      <c r="E15" s="15">
        <v>100181</v>
      </c>
      <c r="F15" s="30">
        <v>70126</v>
      </c>
      <c r="G15" s="30">
        <v>0</v>
      </c>
      <c r="H15" s="30">
        <v>70126</v>
      </c>
      <c r="I15" s="15">
        <v>30055</v>
      </c>
      <c r="J15" s="38"/>
      <c r="K15" s="38"/>
    </row>
    <row r="16" spans="1:11" x14ac:dyDescent="0.6">
      <c r="A16" s="8" t="s">
        <v>80</v>
      </c>
      <c r="B16" s="15">
        <v>1100</v>
      </c>
      <c r="C16" s="15">
        <v>0</v>
      </c>
      <c r="D16" s="15">
        <v>165</v>
      </c>
      <c r="E16" s="15">
        <v>935</v>
      </c>
      <c r="F16" s="30">
        <v>655</v>
      </c>
      <c r="G16" s="30">
        <v>0</v>
      </c>
      <c r="H16" s="30">
        <v>655</v>
      </c>
      <c r="I16" s="15">
        <v>280</v>
      </c>
      <c r="J16" s="38"/>
      <c r="K16" s="38"/>
    </row>
    <row r="17" spans="1:11" x14ac:dyDescent="0.6">
      <c r="A17" s="8" t="s">
        <v>79</v>
      </c>
      <c r="B17" s="15">
        <v>87504</v>
      </c>
      <c r="C17" s="15">
        <v>0</v>
      </c>
      <c r="D17" s="15">
        <v>8750</v>
      </c>
      <c r="E17" s="15">
        <v>78754</v>
      </c>
      <c r="F17" s="30">
        <v>55128</v>
      </c>
      <c r="G17" s="30">
        <v>0</v>
      </c>
      <c r="H17" s="30">
        <v>55128</v>
      </c>
      <c r="I17" s="15">
        <v>23626</v>
      </c>
      <c r="J17" s="38"/>
      <c r="K17" s="38"/>
    </row>
    <row r="18" spans="1:11" x14ac:dyDescent="0.6">
      <c r="A18" s="8" t="s">
        <v>81</v>
      </c>
      <c r="B18" s="15">
        <v>344170</v>
      </c>
      <c r="C18" s="15">
        <v>0</v>
      </c>
      <c r="D18" s="15">
        <v>7540</v>
      </c>
      <c r="E18" s="15">
        <v>336630</v>
      </c>
      <c r="F18" s="30">
        <v>235641</v>
      </c>
      <c r="G18" s="30">
        <v>0</v>
      </c>
      <c r="H18" s="30">
        <v>235641</v>
      </c>
      <c r="I18" s="15">
        <v>100989</v>
      </c>
      <c r="J18" s="38"/>
      <c r="K18" s="38"/>
    </row>
    <row r="19" spans="1:11" x14ac:dyDescent="0.6">
      <c r="A19" s="8" t="s">
        <v>78</v>
      </c>
      <c r="B19" s="15">
        <v>1182660</v>
      </c>
      <c r="C19" s="15">
        <v>0</v>
      </c>
      <c r="D19" s="15">
        <v>118266</v>
      </c>
      <c r="E19" s="15">
        <v>1064394</v>
      </c>
      <c r="F19" s="30">
        <v>745076</v>
      </c>
      <c r="G19" s="30">
        <v>0</v>
      </c>
      <c r="H19" s="30">
        <v>745076</v>
      </c>
      <c r="I19" s="15">
        <v>319318</v>
      </c>
      <c r="J19" s="38"/>
      <c r="K19" s="38"/>
    </row>
    <row r="20" spans="1:11" x14ac:dyDescent="0.6">
      <c r="A20" s="8" t="s">
        <v>82</v>
      </c>
      <c r="B20" s="15">
        <v>94680</v>
      </c>
      <c r="C20" s="15">
        <v>0</v>
      </c>
      <c r="D20" s="15">
        <v>9468</v>
      </c>
      <c r="E20" s="15">
        <v>85212</v>
      </c>
      <c r="F20" s="30">
        <v>59648</v>
      </c>
      <c r="G20" s="30">
        <v>0</v>
      </c>
      <c r="H20" s="30">
        <v>59648</v>
      </c>
      <c r="I20" s="15">
        <v>25564</v>
      </c>
      <c r="J20" s="38"/>
      <c r="K20" s="38"/>
    </row>
    <row r="21" spans="1:11" x14ac:dyDescent="0.6">
      <c r="A21" s="10" t="s">
        <v>27</v>
      </c>
      <c r="B21" s="16">
        <v>1853229</v>
      </c>
      <c r="C21" s="16">
        <v>0</v>
      </c>
      <c r="D21" s="16">
        <v>187123</v>
      </c>
      <c r="E21" s="16">
        <v>1666106</v>
      </c>
      <c r="F21" s="31">
        <v>1166274</v>
      </c>
      <c r="G21" s="31">
        <v>0</v>
      </c>
      <c r="H21" s="31">
        <v>1166274</v>
      </c>
      <c r="I21" s="16">
        <v>499832</v>
      </c>
      <c r="J21" s="38"/>
      <c r="K21" s="38"/>
    </row>
    <row r="22" spans="1:11" x14ac:dyDescent="0.6">
      <c r="F22" s="28"/>
      <c r="G22" s="28"/>
      <c r="H22" s="28"/>
      <c r="J22" s="37"/>
      <c r="K22" s="38"/>
    </row>
    <row r="23" spans="1:11" x14ac:dyDescent="0.6">
      <c r="F23" s="28"/>
      <c r="G23" s="28"/>
      <c r="H23" s="28"/>
      <c r="J23" s="37"/>
      <c r="K23" s="38"/>
    </row>
    <row r="24" spans="1:11" x14ac:dyDescent="0.6">
      <c r="A24" s="21" t="s">
        <v>83</v>
      </c>
      <c r="B24" s="22">
        <f>B12+B21</f>
        <v>554618144</v>
      </c>
      <c r="C24" s="22">
        <f>C12+C21</f>
        <v>0</v>
      </c>
      <c r="D24" s="22">
        <f>D12+D21</f>
        <v>87565202</v>
      </c>
      <c r="E24" s="22">
        <f>E12+E21</f>
        <v>467052942</v>
      </c>
      <c r="F24" s="27">
        <f>F12+F21</f>
        <v>326937059</v>
      </c>
      <c r="G24" s="27">
        <f>G12+G21</f>
        <v>0</v>
      </c>
      <c r="H24" s="27">
        <f>H12+H21</f>
        <v>326937059</v>
      </c>
      <c r="I24" s="22">
        <f>I12+I21</f>
        <v>140115883</v>
      </c>
      <c r="J24" s="37"/>
    </row>
    <row r="26" spans="1:11" x14ac:dyDescent="0.6">
      <c r="B26" s="24" t="b">
        <f>B24='컨텐츠별 매출 통계'!CA7</f>
        <v>1</v>
      </c>
      <c r="C26" s="24"/>
      <c r="D26" s="24" t="b">
        <f>D24='컨텐츠별 매출 통계'!CB7</f>
        <v>1</v>
      </c>
      <c r="E26" s="24" t="b">
        <f>E24='컨텐츠별 매출 통계'!CC7</f>
        <v>1</v>
      </c>
      <c r="F26" s="24" t="b">
        <f>F24='컨텐츠별 매출 통계'!CN7</f>
        <v>1</v>
      </c>
      <c r="G26" s="24" t="b">
        <f>G24='컨텐츠별 매출 통계'!CO7</f>
        <v>1</v>
      </c>
      <c r="H26" s="24" t="b">
        <f>H24='컨텐츠별 매출 통계'!CP7</f>
        <v>1</v>
      </c>
      <c r="I26" s="24"/>
    </row>
    <row r="27" spans="1:11" x14ac:dyDescent="0.6">
      <c r="A27" s="12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5A47-BF05-4BE6-9FA3-E09B03994443}">
  <sheetPr>
    <tabColor theme="0" tint="-0.249977111117893"/>
  </sheetPr>
  <dimension ref="H25:J29"/>
  <sheetViews>
    <sheetView showGridLines="0" workbookViewId="0">
      <selection activeCell="R27" sqref="R27"/>
    </sheetView>
  </sheetViews>
  <sheetFormatPr defaultRowHeight="16.899999999999999" x14ac:dyDescent="0.6"/>
  <cols>
    <col min="8" max="8" width="10.5" bestFit="1" customWidth="1"/>
    <col min="10" max="10" width="10.5" bestFit="1" customWidth="1"/>
  </cols>
  <sheetData>
    <row r="25" spans="8:10" x14ac:dyDescent="0.6">
      <c r="H25" s="35"/>
      <c r="I25" s="35"/>
      <c r="J25" s="35"/>
    </row>
    <row r="26" spans="8:10" x14ac:dyDescent="0.6">
      <c r="H26" s="36" t="s">
        <v>103</v>
      </c>
      <c r="I26" s="36" t="s">
        <v>104</v>
      </c>
      <c r="J26" s="36" t="s">
        <v>105</v>
      </c>
    </row>
    <row r="27" spans="8:10" x14ac:dyDescent="0.6">
      <c r="H27" s="34">
        <v>326937059</v>
      </c>
      <c r="I27" s="34">
        <v>0</v>
      </c>
      <c r="J27" s="34">
        <v>326937059</v>
      </c>
    </row>
    <row r="28" spans="8:10" x14ac:dyDescent="0.6">
      <c r="H28" s="34" t="b">
        <f>H27='1월_정산내역서'!F24</f>
        <v>1</v>
      </c>
      <c r="I28" s="34" t="b">
        <f>I27='1월_정산내역서'!G24</f>
        <v>1</v>
      </c>
      <c r="J28" s="34" t="b">
        <f>J27='1월_정산내역서'!H24</f>
        <v>1</v>
      </c>
    </row>
    <row r="29" spans="8:10" x14ac:dyDescent="0.6">
      <c r="H29" s="34"/>
      <c r="I29" s="34"/>
      <c r="J29" s="34"/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V10"/>
  <sheetViews>
    <sheetView showGridLines="0" zoomScale="90" zoomScaleNormal="90" workbookViewId="0">
      <pane ySplit="6" topLeftCell="A7" activePane="bottomLeft" state="frozen"/>
      <selection pane="bottomLeft" activeCell="BU30" sqref="BU30"/>
    </sheetView>
  </sheetViews>
  <sheetFormatPr defaultRowHeight="16.899999999999999" outlineLevelCol="1" x14ac:dyDescent="0.6"/>
  <cols>
    <col min="1" max="1" width="11" style="1" bestFit="1" customWidth="1"/>
    <col min="2" max="2" width="8.1875" style="1" bestFit="1" customWidth="1"/>
    <col min="3" max="3" width="0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3.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11.187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8" width="12.1875" style="1" bestFit="1" customWidth="1"/>
    <col min="79" max="79" width="11.1875" style="1" bestFit="1" customWidth="1"/>
    <col min="80" max="80" width="9.9375" style="1" bestFit="1" customWidth="1"/>
    <col min="81" max="81" width="10.9375" style="1" bestFit="1" customWidth="1"/>
    <col min="82" max="82" width="11.1875" style="1" bestFit="1" customWidth="1"/>
    <col min="83" max="83" width="3.75" style="1" bestFit="1" customWidth="1"/>
    <col min="84" max="85" width="7.375" style="2" bestFit="1" customWidth="1"/>
    <col min="86" max="86" width="11.875" style="2" bestFit="1" customWidth="1"/>
    <col min="87" max="87" width="10.375" style="2" customWidth="1"/>
    <col min="88" max="88" width="7.5" style="2" hidden="1" customWidth="1"/>
    <col min="89" max="89" width="11.125" style="2" hidden="1" customWidth="1"/>
    <col min="90" max="90" width="9.0625" style="2" bestFit="1" customWidth="1"/>
    <col min="91" max="91" width="9" style="2" hidden="1" customWidth="1"/>
    <col min="92" max="92" width="11.1875" style="2" bestFit="1" customWidth="1"/>
    <col min="93" max="93" width="7.5625" style="2" bestFit="1" customWidth="1"/>
    <col min="94" max="94" width="11.1875" style="2" bestFit="1" customWidth="1"/>
    <col min="95" max="95" width="1.625" style="1" customWidth="1"/>
    <col min="96" max="96" width="34.75" style="1" bestFit="1" customWidth="1"/>
    <col min="97" max="97" width="11" style="1" bestFit="1" customWidth="1"/>
    <col min="98" max="98" width="9.75" style="1" bestFit="1" customWidth="1"/>
    <col min="99" max="99" width="15.125" style="1" bestFit="1" customWidth="1"/>
    <col min="100" max="100" width="11.1875" style="1" bestFit="1" customWidth="1"/>
  </cols>
  <sheetData>
    <row r="1" spans="1:100" x14ac:dyDescent="0.6">
      <c r="A1" s="7" t="s">
        <v>64</v>
      </c>
    </row>
    <row r="2" spans="1:100" x14ac:dyDescent="0.6">
      <c r="A2" s="39" t="s">
        <v>106</v>
      </c>
    </row>
    <row r="3" spans="1:100" ht="19.5" customHeight="1" x14ac:dyDescent="0.6">
      <c r="A3" s="56" t="s">
        <v>0</v>
      </c>
      <c r="B3" s="56"/>
      <c r="C3" s="56"/>
      <c r="D3" s="56"/>
    </row>
    <row r="4" spans="1:100" x14ac:dyDescent="0.6">
      <c r="BT4" s="6">
        <v>0.1</v>
      </c>
      <c r="BU4" s="78">
        <v>7.0000000000000007E-2</v>
      </c>
      <c r="BV4" s="6">
        <v>0.1</v>
      </c>
      <c r="BW4" s="6">
        <v>0.1</v>
      </c>
      <c r="BX4" s="6">
        <v>0.1</v>
      </c>
      <c r="BY4" s="6">
        <v>0.15</v>
      </c>
      <c r="BZ4" s="6">
        <v>0.3</v>
      </c>
      <c r="CA4" s="6"/>
      <c r="CB4" s="5"/>
      <c r="CC4" s="5"/>
      <c r="CD4" s="5">
        <v>0.7</v>
      </c>
    </row>
    <row r="5" spans="1:100" ht="16.5" customHeight="1" x14ac:dyDescent="0.6">
      <c r="A5" s="57" t="s">
        <v>1</v>
      </c>
      <c r="B5" s="57" t="s">
        <v>2</v>
      </c>
      <c r="C5" s="58" t="s">
        <v>3</v>
      </c>
      <c r="D5" s="57" t="s">
        <v>4</v>
      </c>
      <c r="E5" s="57" t="s">
        <v>5</v>
      </c>
      <c r="F5" s="57" t="s">
        <v>6</v>
      </c>
      <c r="G5" s="58" t="s">
        <v>7</v>
      </c>
      <c r="H5" s="58" t="s">
        <v>8</v>
      </c>
      <c r="I5" s="59" t="s">
        <v>9</v>
      </c>
      <c r="J5" s="59"/>
      <c r="K5" s="59"/>
      <c r="L5" s="59"/>
      <c r="M5" s="59"/>
      <c r="N5" s="59"/>
      <c r="O5" s="59"/>
      <c r="P5" s="59"/>
      <c r="Q5" s="59"/>
      <c r="R5" s="60" t="s">
        <v>10</v>
      </c>
      <c r="S5" s="60"/>
      <c r="T5" s="60"/>
      <c r="U5" s="60"/>
      <c r="V5" s="60"/>
      <c r="W5" s="60"/>
      <c r="X5" s="60"/>
      <c r="Y5" s="60"/>
      <c r="Z5" s="60"/>
      <c r="AA5" s="59" t="s">
        <v>11</v>
      </c>
      <c r="AB5" s="59"/>
      <c r="AC5" s="59"/>
      <c r="AD5" s="60" t="s">
        <v>12</v>
      </c>
      <c r="AE5" s="60"/>
      <c r="AF5" s="60"/>
      <c r="AG5" s="59" t="s">
        <v>13</v>
      </c>
      <c r="AH5" s="59"/>
      <c r="AI5" s="59"/>
      <c r="AJ5" s="60" t="s">
        <v>14</v>
      </c>
      <c r="AK5" s="60"/>
      <c r="AL5" s="60"/>
      <c r="AM5" s="59" t="s">
        <v>15</v>
      </c>
      <c r="AN5" s="59"/>
      <c r="AO5" s="59"/>
      <c r="AP5" s="60" t="s">
        <v>16</v>
      </c>
      <c r="AQ5" s="60"/>
      <c r="AR5" s="60"/>
      <c r="AS5" s="59" t="s">
        <v>17</v>
      </c>
      <c r="AT5" s="59"/>
      <c r="AU5" s="59"/>
      <c r="AV5" s="60" t="s">
        <v>18</v>
      </c>
      <c r="AW5" s="60"/>
      <c r="AX5" s="60"/>
      <c r="AY5" s="59" t="s">
        <v>19</v>
      </c>
      <c r="AZ5" s="59"/>
      <c r="BA5" s="59"/>
      <c r="BB5" s="60" t="s">
        <v>20</v>
      </c>
      <c r="BC5" s="60"/>
      <c r="BD5" s="60"/>
      <c r="BE5" s="59" t="s">
        <v>21</v>
      </c>
      <c r="BF5" s="59"/>
      <c r="BG5" s="59"/>
      <c r="BH5" s="60" t="s">
        <v>22</v>
      </c>
      <c r="BI5" s="60"/>
      <c r="BJ5" s="60"/>
      <c r="BK5" s="59" t="s">
        <v>23</v>
      </c>
      <c r="BL5" s="59"/>
      <c r="BM5" s="59"/>
      <c r="BN5" s="60" t="s">
        <v>24</v>
      </c>
      <c r="BO5" s="60"/>
      <c r="BP5" s="60"/>
      <c r="BQ5" s="61" t="s">
        <v>25</v>
      </c>
      <c r="BR5" s="61" t="s">
        <v>26</v>
      </c>
      <c r="BS5" s="61" t="s">
        <v>27</v>
      </c>
      <c r="BT5" s="73" t="s">
        <v>63</v>
      </c>
      <c r="BU5" s="73" t="s">
        <v>62</v>
      </c>
      <c r="BV5" s="73" t="s">
        <v>61</v>
      </c>
      <c r="BW5" s="73" t="s">
        <v>60</v>
      </c>
      <c r="BX5" s="73" t="s">
        <v>59</v>
      </c>
      <c r="BY5" s="73" t="s">
        <v>58</v>
      </c>
      <c r="BZ5" s="73" t="s">
        <v>57</v>
      </c>
      <c r="CA5" s="73" t="s">
        <v>56</v>
      </c>
      <c r="CB5" s="73" t="s">
        <v>55</v>
      </c>
      <c r="CC5" s="76" t="s">
        <v>41</v>
      </c>
      <c r="CD5" s="64" t="s">
        <v>54</v>
      </c>
      <c r="CF5" s="66" t="s">
        <v>53</v>
      </c>
      <c r="CG5" s="68" t="s">
        <v>52</v>
      </c>
      <c r="CH5" s="68" t="s">
        <v>51</v>
      </c>
      <c r="CI5" s="70" t="s">
        <v>50</v>
      </c>
      <c r="CJ5" s="70" t="s">
        <v>49</v>
      </c>
      <c r="CK5" s="70" t="s">
        <v>27</v>
      </c>
      <c r="CL5" s="74" t="s">
        <v>48</v>
      </c>
      <c r="CM5" s="62" t="s">
        <v>47</v>
      </c>
      <c r="CN5" s="64" t="s">
        <v>65</v>
      </c>
      <c r="CO5" s="64" t="s">
        <v>66</v>
      </c>
      <c r="CP5" s="64" t="s">
        <v>67</v>
      </c>
      <c r="CR5" s="72" t="s">
        <v>46</v>
      </c>
      <c r="CS5" s="72" t="s">
        <v>45</v>
      </c>
      <c r="CT5" s="72" t="s">
        <v>44</v>
      </c>
      <c r="CU5" s="72" t="s">
        <v>43</v>
      </c>
      <c r="CV5" s="72" t="s">
        <v>42</v>
      </c>
    </row>
    <row r="6" spans="1:100" ht="27" customHeight="1" x14ac:dyDescent="0.6">
      <c r="A6" s="57"/>
      <c r="B6" s="57"/>
      <c r="C6" s="58"/>
      <c r="D6" s="57"/>
      <c r="E6" s="57"/>
      <c r="F6" s="57"/>
      <c r="G6" s="58"/>
      <c r="H6" s="58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61"/>
      <c r="BR6" s="61"/>
      <c r="BS6" s="61"/>
      <c r="BT6" s="73"/>
      <c r="BU6" s="73"/>
      <c r="BV6" s="73"/>
      <c r="BW6" s="73"/>
      <c r="BX6" s="73"/>
      <c r="BY6" s="73"/>
      <c r="BZ6" s="73"/>
      <c r="CA6" s="73"/>
      <c r="CB6" s="73"/>
      <c r="CC6" s="76" t="s">
        <v>41</v>
      </c>
      <c r="CD6" s="65"/>
      <c r="CF6" s="67"/>
      <c r="CG6" s="69"/>
      <c r="CH6" s="69"/>
      <c r="CI6" s="71"/>
      <c r="CJ6" s="71"/>
      <c r="CK6" s="71"/>
      <c r="CL6" s="75"/>
      <c r="CM6" s="63"/>
      <c r="CN6" s="65"/>
      <c r="CO6" s="65"/>
      <c r="CP6" s="65"/>
      <c r="CR6" s="72"/>
      <c r="CS6" s="72"/>
      <c r="CT6" s="72"/>
      <c r="CU6" s="72"/>
      <c r="CV6" s="72"/>
    </row>
    <row r="7" spans="1:100" s="48" customFormat="1" ht="13.15" x14ac:dyDescent="0.6">
      <c r="A7" s="50" t="s">
        <v>100</v>
      </c>
      <c r="B7" s="50">
        <v>227497</v>
      </c>
      <c r="C7" s="51"/>
      <c r="D7" s="50" t="s">
        <v>101</v>
      </c>
      <c r="E7" s="50" t="s">
        <v>102</v>
      </c>
      <c r="F7" s="50" t="s">
        <v>102</v>
      </c>
      <c r="G7" s="52" t="s">
        <v>39</v>
      </c>
      <c r="H7" s="52" t="s">
        <v>107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3">
        <v>616221</v>
      </c>
      <c r="AB7" s="53">
        <v>94620960</v>
      </c>
      <c r="AC7" s="53">
        <v>68062010</v>
      </c>
      <c r="AD7" s="53">
        <v>7283</v>
      </c>
      <c r="AE7" s="53">
        <v>2154060</v>
      </c>
      <c r="AF7" s="53">
        <v>1323680</v>
      </c>
      <c r="AG7" s="53">
        <v>563460</v>
      </c>
      <c r="AH7" s="53">
        <v>172271334</v>
      </c>
      <c r="AI7" s="53">
        <v>18489261</v>
      </c>
      <c r="AJ7" s="53">
        <v>1494</v>
      </c>
      <c r="AK7" s="53">
        <v>668310</v>
      </c>
      <c r="AL7" s="53">
        <v>164100</v>
      </c>
      <c r="AM7" s="53">
        <v>66756</v>
      </c>
      <c r="AN7" s="53">
        <v>19379800</v>
      </c>
      <c r="AO7" s="53">
        <v>408400</v>
      </c>
      <c r="AP7" s="53">
        <v>1664</v>
      </c>
      <c r="AQ7" s="53">
        <v>813100</v>
      </c>
      <c r="AR7" s="53">
        <v>23400</v>
      </c>
      <c r="AS7" s="53">
        <v>282210</v>
      </c>
      <c r="AT7" s="53">
        <v>95519036</v>
      </c>
      <c r="AU7" s="53">
        <v>461000</v>
      </c>
      <c r="AV7" s="53">
        <v>2602</v>
      </c>
      <c r="AW7" s="53">
        <v>1520313</v>
      </c>
      <c r="AX7" s="53">
        <v>8400</v>
      </c>
      <c r="AY7" s="53">
        <v>222378</v>
      </c>
      <c r="AZ7" s="53">
        <v>76293360</v>
      </c>
      <c r="BA7" s="53">
        <v>334300</v>
      </c>
      <c r="BB7" s="53">
        <v>1771</v>
      </c>
      <c r="BC7" s="53">
        <v>1040400</v>
      </c>
      <c r="BD7" s="53">
        <v>4400</v>
      </c>
      <c r="BE7" s="52">
        <v>454</v>
      </c>
      <c r="BF7" s="53">
        <v>157680</v>
      </c>
      <c r="BG7" s="52">
        <v>300</v>
      </c>
      <c r="BH7" s="52">
        <v>42</v>
      </c>
      <c r="BI7" s="53">
        <v>24840</v>
      </c>
      <c r="BJ7" s="52">
        <v>0</v>
      </c>
      <c r="BK7" s="53">
        <v>2673</v>
      </c>
      <c r="BL7" s="53">
        <v>768900</v>
      </c>
      <c r="BM7" s="52">
        <v>0</v>
      </c>
      <c r="BN7" s="52">
        <v>124</v>
      </c>
      <c r="BO7" s="53">
        <v>106800</v>
      </c>
      <c r="BP7" s="52">
        <v>0</v>
      </c>
      <c r="BQ7" s="54">
        <v>1013</v>
      </c>
      <c r="BR7" s="54">
        <v>72200830.299999997</v>
      </c>
      <c r="BS7" s="55">
        <v>554618144</v>
      </c>
      <c r="BT7" s="45">
        <f t="shared" ref="BT7" si="0">BF7+BI7</f>
        <v>182520</v>
      </c>
      <c r="BU7" s="45">
        <f t="shared" ref="BU7" si="1">AC7+AF7+AI7+AL7+AO7+AR7+AU7+AX7+BA7+BD7+BG7+BJ7+BM7+BP7</f>
        <v>89279251</v>
      </c>
      <c r="BV7" s="45">
        <f t="shared" ref="BV7" si="2">AQ7+AN7+AB7+AE7</f>
        <v>116967920</v>
      </c>
      <c r="BW7" s="45">
        <f t="shared" ref="BW7" si="3">AT7+AW7</f>
        <v>97039349</v>
      </c>
      <c r="BX7" s="45">
        <f t="shared" ref="BX7" si="4">BC7+AZ7</f>
        <v>77333760</v>
      </c>
      <c r="BY7" s="45">
        <f t="shared" ref="BY7" si="5">BL7+BO7</f>
        <v>875700</v>
      </c>
      <c r="BZ7" s="45">
        <f t="shared" ref="BZ7" si="6">AH7+AK7</f>
        <v>172939644</v>
      </c>
      <c r="CA7" s="45">
        <f t="shared" ref="CA7" si="7">SUM(BT7:BZ7)</f>
        <v>554618144</v>
      </c>
      <c r="CB7" s="49">
        <f>ROUND(((BT7*$BT$4)+(BU7*$BU$4)+(BV7*$BV$4)+(BW7*$BW$4)+(BX7*$BX$4)+(BY7*$BY$4)+(BZ7*$BZ$4)),0)+150051</f>
        <v>87565202</v>
      </c>
      <c r="CC7" s="45">
        <f t="shared" ref="CC7" si="8">CA7-CB7</f>
        <v>467052942</v>
      </c>
      <c r="CD7" s="46">
        <f t="shared" ref="CD7" si="9">ROUND(CC7*$CD$4,0)</f>
        <v>326937059</v>
      </c>
      <c r="CE7" s="47"/>
      <c r="CF7" s="41" t="s">
        <v>108</v>
      </c>
      <c r="CG7" s="41" t="str">
        <f t="shared" ref="CG7" si="10">CF7</f>
        <v>2026-01</v>
      </c>
      <c r="CH7" s="42" t="s">
        <v>100</v>
      </c>
      <c r="CI7" s="42">
        <f t="shared" ref="CI7" si="11">CD7</f>
        <v>326937059</v>
      </c>
      <c r="CJ7" s="43"/>
      <c r="CK7" s="43"/>
      <c r="CL7" s="43"/>
      <c r="CM7" s="43"/>
      <c r="CN7" s="42">
        <f t="shared" ref="CN7" si="12">CI7+CL7</f>
        <v>326937059</v>
      </c>
      <c r="CO7" s="42">
        <f t="shared" ref="CO7" si="13">CJ7+CM7</f>
        <v>0</v>
      </c>
      <c r="CP7" s="42">
        <f t="shared" ref="CP7" si="14">CN7+CO7</f>
        <v>326937059</v>
      </c>
      <c r="CR7" s="43" t="str">
        <f t="shared" ref="CR7" si="15">CF7&amp;"월국내유상이용권_웹툰&lt;"&amp;CH7&amp;"&gt;"</f>
        <v>2026-01월국내유상이용권_웹툰&lt;외모지상주의&gt;</v>
      </c>
      <c r="CS7" s="43" t="s">
        <v>100</v>
      </c>
      <c r="CT7" s="43" t="s">
        <v>100</v>
      </c>
      <c r="CU7" s="43" t="s">
        <v>40</v>
      </c>
      <c r="CV7" s="44">
        <f t="shared" ref="CV7" si="16">CN7</f>
        <v>326937059</v>
      </c>
    </row>
    <row r="10" spans="1:100" x14ac:dyDescent="0.6">
      <c r="CB10" s="40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77" t="s">
        <v>84</v>
      </c>
      <c r="C3" s="77"/>
      <c r="D3" s="77"/>
      <c r="E3" s="77"/>
      <c r="F3" s="77"/>
      <c r="G3" s="77"/>
    </row>
    <row r="4" spans="2:7" x14ac:dyDescent="0.6">
      <c r="B4" s="23" t="s">
        <v>85</v>
      </c>
      <c r="C4" s="23" t="s">
        <v>86</v>
      </c>
      <c r="D4" s="23" t="s">
        <v>87</v>
      </c>
      <c r="E4" s="23" t="s">
        <v>91</v>
      </c>
      <c r="F4" s="23" t="s">
        <v>93</v>
      </c>
      <c r="G4" s="23" t="s">
        <v>88</v>
      </c>
    </row>
    <row r="5" spans="2:7" x14ac:dyDescent="0.6">
      <c r="B5" s="32" t="s">
        <v>98</v>
      </c>
      <c r="C5" s="32" t="s">
        <v>99</v>
      </c>
      <c r="D5" s="33" t="s">
        <v>89</v>
      </c>
      <c r="E5" s="32" t="s">
        <v>92</v>
      </c>
      <c r="F5" s="32" t="s">
        <v>94</v>
      </c>
      <c r="G5" s="32" t="s">
        <v>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2026-02-02T05:20:28Z</dcterms:modified>
</cp:coreProperties>
</file>