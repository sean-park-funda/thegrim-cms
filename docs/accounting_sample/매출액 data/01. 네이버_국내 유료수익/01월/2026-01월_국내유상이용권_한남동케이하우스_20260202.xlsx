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더그림\더그림엔터테인먼트 Dropbox\01.재무팀\02. 더그림엔터테인먼트\09. 정산\2026\01. 네이버_국내 유료수익\01월\"/>
    </mc:Choice>
  </mc:AlternateContent>
  <xr:revisionPtr revIDLastSave="0" documentId="13_ncr:1_{D3D76A16-1E32-46C0-9E77-655FE2F73B25}" xr6:coauthVersionLast="47" xr6:coauthVersionMax="47" xr10:uidLastSave="{00000000-0000-0000-0000-000000000000}"/>
  <bookViews>
    <workbookView xWindow="21165" yWindow="-16320" windowWidth="29040" windowHeight="15720" xr2:uid="{C0BC6A51-01B7-46BF-8015-6A616760B851}"/>
  </bookViews>
  <sheets>
    <sheet name="1월_정산내역서" sheetId="13" r:id="rId1"/>
    <sheet name="1월_세금계산서" sheetId="14" r:id="rId2"/>
    <sheet name="컨텐츠별 매출 통계" sheetId="8" r:id="rId3"/>
    <sheet name="로그인정보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B7" i="8" l="1"/>
  <c r="CR7" i="8"/>
  <c r="CO7" i="8"/>
  <c r="G19" i="13" s="1"/>
  <c r="CG7" i="8"/>
  <c r="BZ7" i="8"/>
  <c r="BY7" i="8"/>
  <c r="BX7" i="8"/>
  <c r="BW7" i="8"/>
  <c r="BV7" i="8"/>
  <c r="BU7" i="8"/>
  <c r="BT7" i="8"/>
  <c r="J5" i="13"/>
  <c r="J6" i="13"/>
  <c r="J7" i="13"/>
  <c r="J8" i="13"/>
  <c r="J9" i="13"/>
  <c r="J4" i="13"/>
  <c r="B17" i="13"/>
  <c r="C17" i="13"/>
  <c r="D17" i="13"/>
  <c r="E17" i="13"/>
  <c r="F17" i="13"/>
  <c r="H28" i="14" s="1"/>
  <c r="G17" i="13"/>
  <c r="I28" i="14" s="1"/>
  <c r="H17" i="13"/>
  <c r="I17" i="13"/>
  <c r="D19" i="13" l="1"/>
  <c r="CA7" i="8"/>
  <c r="J28" i="14"/>
  <c r="CC7" i="8" l="1"/>
  <c r="B19" i="13"/>
  <c r="E19" i="13" l="1"/>
  <c r="CD7" i="8"/>
  <c r="CI7" i="8" s="1"/>
  <c r="CN7" i="8" l="1"/>
  <c r="CK7" i="8"/>
  <c r="CV7" i="8" l="1"/>
  <c r="CP7" i="8"/>
  <c r="H19" i="13" s="1"/>
  <c r="F19" i="13"/>
</calcChain>
</file>

<file path=xl/sharedStrings.xml><?xml version="1.0" encoding="utf-8"?>
<sst xmlns="http://schemas.openxmlformats.org/spreadsheetml/2006/main" count="172" uniqueCount="108">
  <si>
    <t>이용권 포함 컨텐츠별 매출 통계</t>
  </si>
  <si>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</si>
  <si>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</si>
  <si>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</si>
  <si>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</si>
  <si>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</si>
  <si>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</si>
  <si>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</si>
  <si>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</si>
  <si>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대여권</t>
  </si>
  <si>
    <t>소장권</t>
  </si>
  <si>
    <t>쿠키로 대여</t>
  </si>
  <si>
    <t>쿠키로 구매</t>
  </si>
  <si>
    <t>i쿠키로 대여</t>
  </si>
  <si>
    <t>i쿠키로 구매</t>
  </si>
  <si>
    <t>자동충전 쿠키로 대여</t>
  </si>
  <si>
    <t>자동충전 쿠키로 구매</t>
  </si>
  <si>
    <t>구글 쿠키로 대여</t>
  </si>
  <si>
    <t>구글 쿠키로 구매</t>
  </si>
  <si>
    <t>구글 외부 쿠키로 대여</t>
  </si>
  <si>
    <t>구글 외부 쿠키로 구매</t>
  </si>
  <si>
    <t>원스토어 쿠키로 대여</t>
  </si>
  <si>
    <t>원스토어 쿠키로 구매</t>
  </si>
  <si>
    <t>리딤 쿠키로 대여</t>
  </si>
  <si>
    <t>리딤 쿠키로 구매</t>
  </si>
  <si>
    <t>유상 이용권 보정</t>
  </si>
  <si>
    <t>마켓수수료(추정치)</t>
  </si>
  <si>
    <t>합계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</si>
  <si>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</si>
  <si>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</si>
  <si>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</si>
  <si>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</si>
  <si>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</si>
  <si>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</si>
  <si>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</si>
  <si>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</si>
  <si>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</si>
  <si>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</si>
  <si>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</si>
  <si>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팀 박태준_공통</t>
  </si>
  <si>
    <t>웹툰매출(국내이용권)</t>
    <phoneticPr fontId="18" type="noConversion"/>
  </si>
  <si>
    <t>NET
매출액</t>
    <phoneticPr fontId="18" type="noConversion"/>
  </si>
  <si>
    <t>금액</t>
    <phoneticPr fontId="18" type="noConversion"/>
  </si>
  <si>
    <t>계정명</t>
    <phoneticPr fontId="25" type="noConversion"/>
  </si>
  <si>
    <t>프로젝트</t>
    <phoneticPr fontId="25" type="noConversion"/>
  </si>
  <si>
    <t>팀</t>
    <phoneticPr fontId="25" type="noConversion"/>
  </si>
  <si>
    <t>적요</t>
    <phoneticPr fontId="25" type="noConversion"/>
  </si>
  <si>
    <t>부가세
조정</t>
    <phoneticPr fontId="18" type="noConversion"/>
  </si>
  <si>
    <t>공급가액
조정</t>
    <phoneticPr fontId="18" type="noConversion"/>
  </si>
  <si>
    <t>부가세</t>
  </si>
  <si>
    <t>공급가액</t>
  </si>
  <si>
    <t>관리작품명</t>
  </si>
  <si>
    <t>판매기간</t>
  </si>
  <si>
    <t>정산월</t>
    <phoneticPr fontId="25" type="noConversion"/>
  </si>
  <si>
    <t>더그림
수익</t>
    <phoneticPr fontId="18" type="noConversion"/>
  </si>
  <si>
    <t>결제수수료</t>
    <phoneticPr fontId="18" type="noConversion"/>
  </si>
  <si>
    <t>총 매출액</t>
    <phoneticPr fontId="18" type="noConversion"/>
  </si>
  <si>
    <t>유상이용권-IAP</t>
    <phoneticPr fontId="18" type="noConversion"/>
  </si>
  <si>
    <t>유상이용권-리딤</t>
    <phoneticPr fontId="18" type="noConversion"/>
  </si>
  <si>
    <t>유상이용권-IAB NPAY</t>
    <phoneticPr fontId="18" type="noConversion"/>
  </si>
  <si>
    <t>유상이용권-IAB</t>
    <phoneticPr fontId="18" type="noConversion"/>
  </si>
  <si>
    <t>유상이용권-웹+자동충전</t>
    <phoneticPr fontId="18" type="noConversion"/>
  </si>
  <si>
    <t>무상이용권</t>
    <phoneticPr fontId="18" type="noConversion"/>
  </si>
  <si>
    <t>유상이용권-원스토어</t>
    <phoneticPr fontId="18" type="noConversion"/>
  </si>
  <si>
    <t>네이버 프렌즈 어드민 &gt; Comic &gt; [시리즈] 매출 통계(이용권 포함) &gt; [CP용] 컨텐츠별 매출 통계</t>
    <phoneticPr fontId="18" type="noConversion"/>
  </si>
  <si>
    <t>확정
공급가액</t>
    <phoneticPr fontId="18" type="noConversion"/>
  </si>
  <si>
    <t>확정
부가세</t>
    <phoneticPr fontId="18" type="noConversion"/>
  </si>
  <si>
    <t>확정
합계</t>
    <phoneticPr fontId="18" type="noConversion"/>
  </si>
  <si>
    <t>구분</t>
  </si>
  <si>
    <t>매출액</t>
  </si>
  <si>
    <t>대손수수료</t>
  </si>
  <si>
    <t>결제수수료</t>
  </si>
  <si>
    <t>순매출액</t>
  </si>
  <si>
    <t>CP 공급가액</t>
  </si>
  <si>
    <t>CP 부가세액</t>
  </si>
  <si>
    <t>CP 정산액</t>
  </si>
  <si>
    <t>WEBTOON 수익</t>
  </si>
  <si>
    <t>유상이용권-IAP</t>
  </si>
  <si>
    <t>유상이용권-웹+자동충전</t>
  </si>
  <si>
    <t>유상이용권-IAB</t>
  </si>
  <si>
    <t>무상이용권</t>
  </si>
  <si>
    <t>유상이용권-IAB NPAY</t>
  </si>
  <si>
    <t>총 합계</t>
    <phoneticPr fontId="18" type="noConversion"/>
  </si>
  <si>
    <t>어드민 정보</t>
    <phoneticPr fontId="18" type="noConversion"/>
  </si>
  <si>
    <t>ID</t>
    <phoneticPr fontId="18" type="noConversion"/>
  </si>
  <si>
    <t>PW</t>
    <phoneticPr fontId="18" type="noConversion"/>
  </si>
  <si>
    <t>URL</t>
    <phoneticPr fontId="18" type="noConversion"/>
  </si>
  <si>
    <t>비고</t>
    <phoneticPr fontId="18" type="noConversion"/>
  </si>
  <si>
    <t>프렌즈어드민</t>
  </si>
  <si>
    <t>익월 1~2일 경 정산내역 확인 가능</t>
    <phoneticPr fontId="18" type="noConversion"/>
  </si>
  <si>
    <t>세무구분</t>
    <phoneticPr fontId="18" type="noConversion"/>
  </si>
  <si>
    <t>면세</t>
    <phoneticPr fontId="18" type="noConversion"/>
  </si>
  <si>
    <t>(세금)계산서</t>
    <phoneticPr fontId="18" type="noConversion"/>
  </si>
  <si>
    <t>정발행</t>
    <phoneticPr fontId="18" type="noConversion"/>
  </si>
  <si>
    <t>네이버 프렌즈 어드민 &gt; Comic &gt; [시리즈] 매출 통계(이용권 포함) &gt; [CP용] 정산내역서 &gt; 내역 확인 후 세금계산서 정발행</t>
    <phoneticPr fontId="18" type="noConversion"/>
  </si>
  <si>
    <t>fra08860</t>
  </si>
  <si>
    <t>sujung23!!</t>
  </si>
  <si>
    <t>한남동케이하우스</t>
  </si>
  <si>
    <t>한남동 케이하우스</t>
  </si>
  <si>
    <t>더그림엔터테인먼트</t>
  </si>
  <si>
    <t>박태준</t>
  </si>
  <si>
    <t>12세 이상 이용가능</t>
  </si>
  <si>
    <t>2019.10.30</t>
  </si>
  <si>
    <t>공급가액</t>
    <phoneticPr fontId="18" type="noConversion"/>
  </si>
  <si>
    <t>부가세</t>
    <phoneticPr fontId="18" type="noConversion"/>
  </si>
  <si>
    <t>합계</t>
    <phoneticPr fontId="18" type="noConversion"/>
  </si>
  <si>
    <t>유상이용권-리딤</t>
  </si>
  <si>
    <t>2026-01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</si>
</sst>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7" formatCode="yyyy&quot;-&quot;mm"/>
  </numFmts>
  <fonts count="4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ajor"/>
    </font>
    <font>
      <b/>
      <sz val="8"/>
      <color theme="1"/>
      <name val="맑은 고딕"/>
      <family val="3"/>
      <charset val="129"/>
      <scheme val="major"/>
    </font>
    <font>
      <sz val="11"/>
      <color indexed="8"/>
      <name val="맑은 고딕"/>
      <family val="2"/>
      <scheme val="minor"/>
    </font>
    <font>
      <b/>
      <sz val="8"/>
      <color indexed="8"/>
      <name val="맑은 고딕"/>
      <family val="3"/>
      <charset val="129"/>
      <scheme val="major"/>
    </font>
    <font>
      <b/>
      <sz val="8"/>
      <color rgb="FFFFFFFF"/>
      <name val="맑은 고딕"/>
      <family val="3"/>
      <charset val="129"/>
      <scheme val="major"/>
    </font>
    <font>
      <b/>
      <sz val="8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ajor"/>
    </font>
    <font>
      <i/>
      <sz val="8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u/>
      <sz val="8"/>
      <color theme="1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ajor"/>
    </font>
    <font>
      <sz val="9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aj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0124D"/>
        <bgColor rgb="FF20124D"/>
      </patternFill>
    </fill>
    <fill>
      <patternFill patternType="solid">
        <fgColor rgb="FFFF9900"/>
        <bgColor rgb="FFFF9900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rgb="FF20124D"/>
      </patternFill>
    </fill>
    <fill>
      <patternFill patternType="solid">
        <fgColor theme="1" tint="0.499984740745262"/>
        <bgColor rgb="FFFF9900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31" fillId="0" borderId="0" applyNumberFormat="0" applyFill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41" fontId="19" fillId="0" borderId="0" xfId="1" applyFont="1">
      <alignment vertical="center"/>
    </xf>
    <xf numFmtId="41" fontId="20" fillId="33" borderId="0" xfId="1" applyFont="1" applyFill="1" applyAlignment="1">
      <alignment horizontal="center" vertical="center" wrapText="1"/>
    </xf>
    <xf numFmtId="9" fontId="19" fillId="0" borderId="0" xfId="2" applyFont="1">
      <alignment vertical="center"/>
    </xf>
    <xf numFmtId="9" fontId="19" fillId="0" borderId="0" xfId="0" applyNumberFormat="1" applyFont="1">
      <alignment vertical="center"/>
    </xf>
    <xf numFmtId="0" fontId="27" fillId="0" borderId="0" xfId="0" applyFont="1">
      <alignment vertical="center"/>
    </xf>
    <xf numFmtId="0" fontId="29" fillId="0" borderId="0" xfId="0" applyFont="1" applyAlignment="1">
      <alignment vertical="center" wrapText="1"/>
    </xf>
    <xf numFmtId="0" fontId="29" fillId="0" borderId="0" xfId="0" applyFont="1">
      <alignment vertical="center"/>
    </xf>
    <xf numFmtId="0" fontId="28" fillId="36" borderId="0" xfId="0" applyFont="1" applyFill="1" applyAlignment="1">
      <alignment vertical="center" wrapText="1"/>
    </xf>
    <xf numFmtId="0" fontId="28" fillId="36" borderId="0" xfId="0" applyFont="1" applyFill="1">
      <alignment vertical="center"/>
    </xf>
    <xf numFmtId="41" fontId="0" fillId="0" borderId="0" xfId="1" applyFont="1" applyAlignment="1">
      <alignment vertical="center"/>
    </xf>
    <xf numFmtId="41" fontId="29" fillId="0" borderId="0" xfId="1" applyFont="1" applyAlignment="1">
      <alignment vertical="center"/>
    </xf>
    <xf numFmtId="41" fontId="28" fillId="36" borderId="0" xfId="1" applyFont="1" applyFill="1" applyAlignment="1">
      <alignment vertical="center"/>
    </xf>
    <xf numFmtId="41" fontId="29" fillId="0" borderId="0" xfId="1" applyFont="1" applyAlignment="1">
      <alignment vertical="center" wrapText="1"/>
    </xf>
    <xf numFmtId="41" fontId="28" fillId="36" borderId="0" xfId="1" applyFont="1" applyFill="1" applyAlignment="1">
      <alignment vertical="center" wrapText="1"/>
    </xf>
    <xf numFmtId="0" fontId="28" fillId="36" borderId="0" xfId="0" applyFont="1" applyFill="1" applyAlignment="1">
      <alignment horizontal="center" vertical="center"/>
    </xf>
    <xf numFmtId="41" fontId="28" fillId="36" borderId="0" xfId="1" applyFont="1" applyFill="1" applyAlignment="1">
      <alignment horizontal="center" vertical="center"/>
    </xf>
    <xf numFmtId="0" fontId="28" fillId="36" borderId="0" xfId="0" applyFont="1" applyFill="1" applyAlignment="1">
      <alignment horizontal="center" vertical="center" wrapText="1"/>
    </xf>
    <xf numFmtId="41" fontId="28" fillId="36" borderId="0" xfId="1" applyFont="1" applyFill="1" applyAlignment="1">
      <alignment horizontal="center" vertical="center" wrapText="1"/>
    </xf>
    <xf numFmtId="0" fontId="28" fillId="40" borderId="0" xfId="0" applyFont="1" applyFill="1">
      <alignment vertical="center"/>
    </xf>
    <xf numFmtId="41" fontId="28" fillId="40" borderId="0" xfId="1" applyFont="1" applyFill="1" applyAlignment="1">
      <alignment vertical="center"/>
    </xf>
    <xf numFmtId="0" fontId="32" fillId="0" borderId="11" xfId="0" applyFont="1" applyBorder="1" applyAlignment="1">
      <alignment horizontal="center" vertical="center"/>
    </xf>
    <xf numFmtId="41" fontId="30" fillId="0" borderId="0" xfId="1" applyFont="1" applyAlignment="1">
      <alignment vertical="center"/>
    </xf>
    <xf numFmtId="41" fontId="28" fillId="43" borderId="0" xfId="1" applyFont="1" applyFill="1" applyAlignment="1">
      <alignment horizontal="center" vertical="center"/>
    </xf>
    <xf numFmtId="41" fontId="29" fillId="43" borderId="0" xfId="1" applyFont="1" applyFill="1" applyAlignment="1">
      <alignment vertical="center"/>
    </xf>
    <xf numFmtId="41" fontId="28" fillId="43" borderId="0" xfId="1" applyFont="1" applyFill="1" applyAlignment="1">
      <alignment vertical="center"/>
    </xf>
    <xf numFmtId="41" fontId="0" fillId="43" borderId="0" xfId="1" applyFont="1" applyFill="1" applyAlignment="1">
      <alignment vertical="center"/>
    </xf>
    <xf numFmtId="41" fontId="28" fillId="43" borderId="0" xfId="1" applyFont="1" applyFill="1" applyAlignment="1">
      <alignment horizontal="center" vertical="center" wrapText="1"/>
    </xf>
    <xf numFmtId="41" fontId="29" fillId="43" borderId="0" xfId="1" applyFont="1" applyFill="1" applyAlignment="1">
      <alignment vertical="center" wrapText="1"/>
    </xf>
    <xf numFmtId="41" fontId="28" fillId="43" borderId="0" xfId="1" applyFont="1" applyFill="1" applyAlignment="1">
      <alignment vertical="center" wrapText="1"/>
    </xf>
    <xf numFmtId="0" fontId="30" fillId="0" borderId="11" xfId="0" applyFont="1" applyBorder="1" applyAlignment="1">
      <alignment horizontal="center" vertical="center"/>
    </xf>
    <xf numFmtId="0" fontId="33" fillId="0" borderId="11" xfId="45" applyFont="1" applyFill="1" applyBorder="1" applyAlignment="1">
      <alignment horizontal="center" vertical="center"/>
    </xf>
    <xf numFmtId="41" fontId="36" fillId="0" borderId="0" xfId="1" applyFont="1" applyAlignment="1">
      <alignment horizontal="center" vertical="center"/>
    </xf>
    <xf numFmtId="41" fontId="32" fillId="0" borderId="0" xfId="1" applyFont="1" applyAlignment="1">
      <alignment horizontal="center" vertical="center"/>
    </xf>
    <xf numFmtId="49" fontId="34" fillId="0" borderId="0" xfId="1" applyNumberFormat="1" applyFont="1" applyFill="1" applyAlignment="1">
      <alignment horizontal="center" vertical="center"/>
    </xf>
    <xf numFmtId="41" fontId="34" fillId="0" borderId="0" xfId="1" applyFont="1" applyFill="1" applyAlignment="1">
      <alignment horizontal="center" vertical="center"/>
    </xf>
    <xf numFmtId="0" fontId="34" fillId="0" borderId="0" xfId="0" applyFont="1" applyAlignment="1">
      <alignment horizontal="center" vertical="center"/>
    </xf>
    <xf numFmtId="41" fontId="34" fillId="0" borderId="0" xfId="0" applyNumberFormat="1" applyFont="1" applyAlignment="1">
      <alignment horizontal="center" vertical="center"/>
    </xf>
    <xf numFmtId="0" fontId="34" fillId="0" borderId="0" xfId="0" applyFont="1">
      <alignment vertical="center"/>
    </xf>
    <xf numFmtId="41" fontId="38" fillId="0" borderId="0" xfId="1" applyFont="1" applyFill="1" applyAlignment="1">
      <alignment vertical="center"/>
    </xf>
    <xf numFmtId="41" fontId="34" fillId="0" borderId="0" xfId="1" applyFont="1" applyFill="1" applyBorder="1" applyAlignment="1">
      <alignment vertical="center"/>
    </xf>
    <xf numFmtId="0" fontId="37" fillId="0" borderId="0" xfId="0" applyFont="1" applyAlignment="1">
      <alignment horizontal="center" vertical="center"/>
    </xf>
    <xf numFmtId="0" fontId="37" fillId="0" borderId="0" xfId="0" applyFont="1">
      <alignment vertical="center"/>
    </xf>
    <xf numFmtId="41" fontId="37" fillId="0" borderId="0" xfId="1" applyFont="1" applyAlignment="1">
      <alignment vertical="center"/>
    </xf>
    <xf numFmtId="41" fontId="35" fillId="0" borderId="0" xfId="1" applyFont="1" applyFill="1" applyAlignment="1">
      <alignment vertical="center"/>
    </xf>
    <xf numFmtId="41" fontId="37" fillId="0" borderId="0" xfId="0" applyNumberFormat="1" applyFont="1">
      <alignment vertical="center"/>
    </xf>
    <xf numFmtId="0" fontId="37" fillId="0" borderId="0" xfId="0" applyFont="1" applyAlignment="1">
      <alignment horizontal="left" vertical="center" wrapText="1"/>
    </xf>
    <xf numFmtId="49" fontId="37" fillId="0" borderId="0" xfId="0" applyNumberFormat="1" applyFont="1" applyAlignment="1">
      <alignment vertical="center" wrapText="1"/>
    </xf>
    <xf numFmtId="0" fontId="37" fillId="0" borderId="0" xfId="0" applyFont="1" applyAlignment="1">
      <alignment vertical="center" wrapText="1"/>
    </xf>
    <xf numFmtId="3" fontId="37" fillId="0" borderId="0" xfId="0" applyNumberFormat="1" applyFont="1" applyAlignment="1">
      <alignment vertical="center" wrapText="1"/>
    </xf>
    <xf numFmtId="4" fontId="37" fillId="0" borderId="0" xfId="0" applyNumberFormat="1" applyFont="1" applyAlignment="1">
      <alignment vertical="center" wrapText="1"/>
    </xf>
    <xf numFmtId="4" fontId="39" fillId="0" borderId="0" xfId="0" applyNumberFormat="1" applyFont="1" applyAlignment="1">
      <alignment vertical="center" wrapText="1"/>
    </xf>
    <xf numFmtId="0" fontId="26" fillId="0" borderId="0" xfId="0" applyFont="1" applyAlignment="1">
      <alignment vertical="top" wrapText="1"/>
    </xf>
    <xf numFmtId="0" fontId="20" fillId="33" borderId="0" xfId="0" applyFont="1" applyFill="1" applyAlignment="1">
      <alignment horizontal="center" vertical="center" wrapText="1"/>
    </xf>
    <xf numFmtId="0" fontId="19" fillId="33" borderId="0" xfId="0" applyFont="1" applyFill="1" applyAlignment="1">
      <alignment vertical="center" wrapText="1"/>
    </xf>
    <xf numFmtId="41" fontId="20" fillId="34" borderId="0" xfId="1" applyFont="1" applyFill="1" applyAlignment="1">
      <alignment horizontal="center" vertical="center" wrapText="1"/>
    </xf>
    <xf numFmtId="41" fontId="20" fillId="35" borderId="0" xfId="1" applyFont="1" applyFill="1" applyAlignment="1">
      <alignment horizontal="center" vertical="center" wrapText="1"/>
    </xf>
    <xf numFmtId="41" fontId="20" fillId="33" borderId="0" xfId="1" applyFont="1" applyFill="1" applyAlignment="1">
      <alignment horizontal="center" vertical="center" wrapText="1"/>
    </xf>
    <xf numFmtId="0" fontId="23" fillId="42" borderId="0" xfId="0" applyFont="1" applyFill="1" applyAlignment="1">
      <alignment horizontal="center" vertical="center" wrapText="1"/>
    </xf>
    <xf numFmtId="0" fontId="23" fillId="42" borderId="10" xfId="0" applyFont="1" applyFill="1" applyBorder="1" applyAlignment="1">
      <alignment horizontal="center" vertical="center"/>
    </xf>
    <xf numFmtId="0" fontId="23" fillId="38" borderId="0" xfId="0" applyFont="1" applyFill="1" applyAlignment="1">
      <alignment horizontal="center" vertical="center" wrapText="1"/>
    </xf>
    <xf numFmtId="0" fontId="23" fillId="38" borderId="10" xfId="0" applyFont="1" applyFill="1" applyBorder="1" applyAlignment="1">
      <alignment horizontal="center" vertical="center"/>
    </xf>
    <xf numFmtId="177" fontId="23" fillId="37" borderId="0" xfId="0" applyNumberFormat="1" applyFont="1" applyFill="1" applyAlignment="1">
      <alignment horizontal="center" vertical="center" wrapText="1"/>
    </xf>
    <xf numFmtId="177" fontId="23" fillId="37" borderId="10" xfId="0" applyNumberFormat="1" applyFont="1" applyFill="1" applyBorder="1" applyAlignment="1">
      <alignment horizontal="center" vertical="center" wrapText="1"/>
    </xf>
    <xf numFmtId="0" fontId="23" fillId="37" borderId="0" xfId="0" applyFont="1" applyFill="1" applyAlignment="1">
      <alignment horizontal="center" vertical="center" wrapText="1"/>
    </xf>
    <xf numFmtId="0" fontId="23" fillId="37" borderId="10" xfId="0" applyFont="1" applyFill="1" applyBorder="1" applyAlignment="1">
      <alignment horizontal="center" vertical="center" wrapText="1"/>
    </xf>
    <xf numFmtId="41" fontId="23" fillId="37" borderId="0" xfId="1" applyFont="1" applyFill="1" applyBorder="1" applyAlignment="1">
      <alignment horizontal="center" vertical="center" wrapText="1"/>
    </xf>
    <xf numFmtId="41" fontId="23" fillId="37" borderId="10" xfId="1" applyFont="1" applyFill="1" applyBorder="1" applyAlignment="1">
      <alignment horizontal="center" vertical="center" wrapText="1"/>
    </xf>
    <xf numFmtId="0" fontId="22" fillId="36" borderId="0" xfId="44" applyFont="1" applyFill="1" applyAlignment="1">
      <alignment horizontal="center" vertical="center"/>
    </xf>
    <xf numFmtId="41" fontId="20" fillId="39" borderId="0" xfId="1" applyFont="1" applyFill="1" applyAlignment="1">
      <alignment horizontal="center" vertical="center" wrapText="1"/>
    </xf>
    <xf numFmtId="41" fontId="23" fillId="41" borderId="0" xfId="1" applyFont="1" applyFill="1" applyBorder="1" applyAlignment="1">
      <alignment horizontal="center" vertical="center" wrapText="1"/>
    </xf>
    <xf numFmtId="41" fontId="23" fillId="41" borderId="10" xfId="1" applyFont="1" applyFill="1" applyBorder="1" applyAlignment="1">
      <alignment horizontal="center" vertical="center" wrapText="1"/>
    </xf>
    <xf numFmtId="0" fontId="24" fillId="39" borderId="0" xfId="0" applyFont="1" applyFill="1" applyAlignment="1">
      <alignment horizontal="center" vertical="center" wrapText="1"/>
    </xf>
    <xf numFmtId="0" fontId="32" fillId="0" borderId="11" xfId="0" applyFont="1" applyBorder="1" applyAlignment="1">
      <alignment horizontal="center" vertical="center"/>
    </xf>
    <xf numFmtId="9" fontId="0" fillId="0" borderId="0" xfId="2" applyFont="1">
      <alignment vertical="center"/>
    </xf>
  </cellXfs>
  <cellStyles count="46">
    <cellStyle name="20% - 강조색1" xfId="21" builtinId="30" customBuiltin="1"/>
    <cellStyle name="20% - 강조색2" xfId="25" builtinId="34" customBuiltin="1"/>
    <cellStyle name="20% - 강조색3" xfId="29" builtinId="38" customBuiltin="1"/>
    <cellStyle name="20% - 강조색4" xfId="33" builtinId="42" customBuiltin="1"/>
    <cellStyle name="20% - 강조색5" xfId="37" builtinId="46" customBuiltin="1"/>
    <cellStyle name="20% - 강조색6" xfId="41" builtinId="50" customBuiltin="1"/>
    <cellStyle name="40% - 강조색1" xfId="22" builtinId="31" customBuiltin="1"/>
    <cellStyle name="40% - 강조색2" xfId="26" builtinId="35" customBuiltin="1"/>
    <cellStyle name="40% - 강조색3" xfId="30" builtinId="39" customBuiltin="1"/>
    <cellStyle name="40% - 강조색4" xfId="34" builtinId="43" customBuiltin="1"/>
    <cellStyle name="40% - 강조색5" xfId="38" builtinId="47" customBuiltin="1"/>
    <cellStyle name="40% - 강조색6" xfId="42" builtinId="51" customBuiltin="1"/>
    <cellStyle name="60% - 강조색1" xfId="23" builtinId="32" customBuiltin="1"/>
    <cellStyle name="60% - 강조색2" xfId="27" builtinId="36" customBuiltin="1"/>
    <cellStyle name="60% - 강조색3" xfId="31" builtinId="40" customBuiltin="1"/>
    <cellStyle name="60% - 강조색4" xfId="35" builtinId="44" customBuiltin="1"/>
    <cellStyle name="60% - 강조색5" xfId="39" builtinId="48" customBuiltin="1"/>
    <cellStyle name="60% - 강조색6" xfId="43" builtinId="52" customBuiltin="1"/>
    <cellStyle name="강조색1" xfId="20" builtinId="29" customBuiltin="1"/>
    <cellStyle name="강조색2" xfId="24" builtinId="33" customBuiltin="1"/>
    <cellStyle name="강조색3" xfId="28" builtinId="37" customBuiltin="1"/>
    <cellStyle name="강조색4" xfId="32" builtinId="41" customBuiltin="1"/>
    <cellStyle name="강조색5" xfId="36" builtinId="45" customBuiltin="1"/>
    <cellStyle name="강조색6" xfId="40" builtinId="49" customBuiltin="1"/>
    <cellStyle name="경고문" xfId="16" builtinId="11" customBuiltin="1"/>
    <cellStyle name="계산" xfId="13" builtinId="22" customBuiltin="1"/>
    <cellStyle name="나쁨" xfId="9" builtinId="27" customBuiltin="1"/>
    <cellStyle name="메모" xfId="17" builtinId="10" customBuiltin="1"/>
    <cellStyle name="백분율" xfId="2" builtinId="5"/>
    <cellStyle name="보통" xfId="10" builtinId="28" customBuiltin="1"/>
    <cellStyle name="설명 텍스트" xfId="18" builtinId="53" customBuiltin="1"/>
    <cellStyle name="셀 확인" xfId="15" builtinId="23" customBuiltin="1"/>
    <cellStyle name="쉼표 [0]" xfId="1" builtinId="6"/>
    <cellStyle name="연결된 셀" xfId="14" builtinId="24" customBuiltin="1"/>
    <cellStyle name="요약" xfId="19" builtinId="25" customBuiltin="1"/>
    <cellStyle name="입력" xfId="11" builtinId="20" customBuiltin="1"/>
    <cellStyle name="제목" xfId="3" builtinId="15" customBuiltin="1"/>
    <cellStyle name="제목 1" xfId="4" builtinId="16" customBuiltin="1"/>
    <cellStyle name="제목 2" xfId="5" builtinId="17" customBuiltin="1"/>
    <cellStyle name="제목 3" xfId="6" builtinId="18" customBuiltin="1"/>
    <cellStyle name="제목 4" xfId="7" builtinId="19" customBuiltin="1"/>
    <cellStyle name="좋음" xfId="8" builtinId="26" customBuiltin="1"/>
    <cellStyle name="출력" xfId="12" builtinId="21" customBuiltin="1"/>
    <cellStyle name="표준" xfId="0" builtinId="0"/>
    <cellStyle name="표준 2" xfId="44" xr:uid="{E20C8C21-2DAF-49E9-A1DB-53EC185E1095}"/>
    <cellStyle name="하이퍼링크" xfId="4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309560</xdr:colOff>
      <xdr:row>1</xdr:row>
      <xdr:rowOff>169334</xdr:rowOff>
    </xdr:from>
    <xdr:to>
      <xdr:col>25</xdr:col>
      <xdr:colOff>303739</xdr:colOff>
      <xdr:row>19</xdr:row>
      <xdr:rowOff>21046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9C02A602-0949-F413-C0BA-8A492A528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71060" y="391584"/>
          <a:ext cx="10308167" cy="3847450"/>
        </a:xfrm>
        <a:prstGeom prst="rect">
          <a:avLst/>
        </a:prstGeom>
      </xdr:spPr>
    </xdr:pic>
    <xdr:clientData/>
  </xdr:twoCellAnchor>
  <xdr:twoCellAnchor editAs="oneCell">
    <xdr:from>
      <xdr:col>10</xdr:col>
      <xdr:colOff>352952</xdr:colOff>
      <xdr:row>19</xdr:row>
      <xdr:rowOff>162452</xdr:rowOff>
    </xdr:from>
    <xdr:to>
      <xdr:col>25</xdr:col>
      <xdr:colOff>19047</xdr:colOff>
      <xdr:row>32</xdr:row>
      <xdr:rowOff>74582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289A394-AFBF-7118-1228-40CDA9459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14452" y="4385202"/>
          <a:ext cx="9984845" cy="2801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19966</xdr:colOff>
      <xdr:row>22</xdr:row>
      <xdr:rowOff>114300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038B628-8BC4-3924-AB2D-1B74C34CC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249566" cy="4933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friend.navercorp.com/login/loginForm.sec?url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71E1B-ED64-42D5-8454-109891E17CC6}">
  <sheetPr>
    <tabColor theme="0" tint="-0.249977111117893"/>
  </sheetPr>
  <dimension ref="A1:J38"/>
  <sheetViews>
    <sheetView showGridLines="0" tabSelected="1" zoomScale="90" zoomScaleNormal="90" workbookViewId="0">
      <selection activeCell="F17" sqref="F17"/>
    </sheetView>
  </sheetViews>
  <sheetFormatPr defaultRowHeight="16.899999999999999" x14ac:dyDescent="0.6"/>
  <cols>
    <col min="1" max="1" width="23.75" bestFit="1" customWidth="1"/>
    <col min="2" max="2" width="10.875" style="12" bestFit="1" customWidth="1"/>
    <col min="3" max="4" width="11.5" style="12" bestFit="1" customWidth="1"/>
    <col min="5" max="5" width="10.875" style="12" bestFit="1" customWidth="1"/>
    <col min="6" max="7" width="12.625" style="12" bestFit="1" customWidth="1"/>
    <col min="8" max="8" width="10.875" style="12" bestFit="1" customWidth="1"/>
    <col min="9" max="9" width="14.125" style="12" bestFit="1" customWidth="1"/>
    <col min="10" max="10" width="5.375" customWidth="1"/>
  </cols>
  <sheetData>
    <row r="1" spans="1:10" x14ac:dyDescent="0.6">
      <c r="A1" s="7" t="s">
        <v>94</v>
      </c>
    </row>
    <row r="3" spans="1:10" x14ac:dyDescent="0.6">
      <c r="A3" s="17" t="s">
        <v>68</v>
      </c>
      <c r="B3" s="18" t="s">
        <v>69</v>
      </c>
      <c r="C3" s="18" t="s">
        <v>70</v>
      </c>
      <c r="D3" s="18" t="s">
        <v>71</v>
      </c>
      <c r="E3" s="18" t="s">
        <v>72</v>
      </c>
      <c r="F3" s="25" t="s">
        <v>73</v>
      </c>
      <c r="G3" s="25" t="s">
        <v>74</v>
      </c>
      <c r="H3" s="25" t="s">
        <v>75</v>
      </c>
      <c r="I3" s="18" t="s">
        <v>76</v>
      </c>
    </row>
    <row r="4" spans="1:10" x14ac:dyDescent="0.6">
      <c r="A4" s="9" t="s">
        <v>106</v>
      </c>
      <c r="B4" s="13">
        <v>3600</v>
      </c>
      <c r="C4" s="13">
        <v>0</v>
      </c>
      <c r="D4" s="13">
        <v>540</v>
      </c>
      <c r="E4" s="13">
        <v>3060</v>
      </c>
      <c r="F4" s="26">
        <v>2142</v>
      </c>
      <c r="G4" s="26">
        <v>0</v>
      </c>
      <c r="H4" s="26">
        <v>2142</v>
      </c>
      <c r="I4" s="13">
        <v>918</v>
      </c>
      <c r="J4" s="76">
        <f>D4/B4</f>
        <v>0.15</v>
      </c>
    </row>
    <row r="5" spans="1:10" x14ac:dyDescent="0.6">
      <c r="A5" s="9" t="s">
        <v>79</v>
      </c>
      <c r="B5" s="13">
        <v>29640</v>
      </c>
      <c r="C5" s="13">
        <v>0</v>
      </c>
      <c r="D5" s="13">
        <v>2964</v>
      </c>
      <c r="E5" s="13">
        <v>26676</v>
      </c>
      <c r="F5" s="26">
        <v>18673</v>
      </c>
      <c r="G5" s="26">
        <v>0</v>
      </c>
      <c r="H5" s="26">
        <v>18673</v>
      </c>
      <c r="I5" s="13">
        <v>8003</v>
      </c>
      <c r="J5" s="76">
        <f t="shared" ref="J5:J9" si="0">D5/B5</f>
        <v>0.1</v>
      </c>
    </row>
    <row r="6" spans="1:10" x14ac:dyDescent="0.6">
      <c r="A6" s="9" t="s">
        <v>80</v>
      </c>
      <c r="B6" s="13">
        <v>46070</v>
      </c>
      <c r="C6" s="13">
        <v>0</v>
      </c>
      <c r="D6" s="13">
        <v>4590</v>
      </c>
      <c r="E6" s="13">
        <v>41480</v>
      </c>
      <c r="F6" s="26">
        <v>29036</v>
      </c>
      <c r="G6" s="26">
        <v>0</v>
      </c>
      <c r="H6" s="26">
        <v>29036</v>
      </c>
      <c r="I6" s="13">
        <v>12444</v>
      </c>
      <c r="J6" s="76">
        <f t="shared" si="0"/>
        <v>9.9630996309963096E-2</v>
      </c>
    </row>
    <row r="7" spans="1:10" x14ac:dyDescent="0.6">
      <c r="A7" s="9" t="s">
        <v>78</v>
      </c>
      <c r="B7" s="13">
        <v>19600</v>
      </c>
      <c r="C7" s="13">
        <v>0</v>
      </c>
      <c r="D7" s="13">
        <v>1960</v>
      </c>
      <c r="E7" s="13">
        <v>17640</v>
      </c>
      <c r="F7" s="26">
        <v>12348</v>
      </c>
      <c r="G7" s="26">
        <v>0</v>
      </c>
      <c r="H7" s="26">
        <v>12348</v>
      </c>
      <c r="I7" s="13">
        <v>5292</v>
      </c>
      <c r="J7" s="76">
        <f t="shared" si="0"/>
        <v>0.1</v>
      </c>
    </row>
    <row r="8" spans="1:10" x14ac:dyDescent="0.6">
      <c r="A8" s="9" t="s">
        <v>77</v>
      </c>
      <c r="B8" s="13">
        <v>32160</v>
      </c>
      <c r="C8" s="13">
        <v>0</v>
      </c>
      <c r="D8" s="13">
        <v>9648</v>
      </c>
      <c r="E8" s="13">
        <v>22512</v>
      </c>
      <c r="F8" s="26">
        <v>15758</v>
      </c>
      <c r="G8" s="26">
        <v>0</v>
      </c>
      <c r="H8" s="26">
        <v>15758</v>
      </c>
      <c r="I8" s="13">
        <v>6754</v>
      </c>
      <c r="J8" s="76">
        <f t="shared" si="0"/>
        <v>0.3</v>
      </c>
    </row>
    <row r="9" spans="1:10" x14ac:dyDescent="0.6">
      <c r="A9" s="9" t="s">
        <v>81</v>
      </c>
      <c r="B9" s="13">
        <v>7200</v>
      </c>
      <c r="C9" s="13">
        <v>0</v>
      </c>
      <c r="D9" s="13">
        <v>720</v>
      </c>
      <c r="E9" s="13">
        <v>6480</v>
      </c>
      <c r="F9" s="26">
        <v>4536</v>
      </c>
      <c r="G9" s="26">
        <v>0</v>
      </c>
      <c r="H9" s="26">
        <v>4536</v>
      </c>
      <c r="I9" s="13">
        <v>1944</v>
      </c>
      <c r="J9" s="76">
        <f t="shared" si="0"/>
        <v>0.1</v>
      </c>
    </row>
    <row r="10" spans="1:10" x14ac:dyDescent="0.6">
      <c r="A10" s="11" t="s">
        <v>27</v>
      </c>
      <c r="B10" s="14">
        <v>138270</v>
      </c>
      <c r="C10" s="14">
        <v>0</v>
      </c>
      <c r="D10" s="14">
        <v>20422</v>
      </c>
      <c r="E10" s="14">
        <v>117848</v>
      </c>
      <c r="F10" s="27">
        <v>82493</v>
      </c>
      <c r="G10" s="27">
        <v>0</v>
      </c>
      <c r="H10" s="27">
        <v>82493</v>
      </c>
      <c r="I10" s="14">
        <v>35355</v>
      </c>
    </row>
    <row r="11" spans="1:10" x14ac:dyDescent="0.6">
      <c r="F11" s="28"/>
      <c r="G11" s="28"/>
      <c r="H11" s="28"/>
    </row>
    <row r="12" spans="1:10" x14ac:dyDescent="0.6">
      <c r="A12" s="19" t="s">
        <v>68</v>
      </c>
      <c r="B12" s="20" t="s">
        <v>69</v>
      </c>
      <c r="C12" s="20" t="s">
        <v>70</v>
      </c>
      <c r="D12" s="20" t="s">
        <v>71</v>
      </c>
      <c r="E12" s="20" t="s">
        <v>72</v>
      </c>
      <c r="F12" s="29" t="s">
        <v>73</v>
      </c>
      <c r="G12" s="29" t="s">
        <v>74</v>
      </c>
      <c r="H12" s="29" t="s">
        <v>75</v>
      </c>
      <c r="I12" s="20" t="s">
        <v>76</v>
      </c>
    </row>
    <row r="13" spans="1:10" x14ac:dyDescent="0.6">
      <c r="A13" s="8"/>
      <c r="B13" s="15"/>
      <c r="C13" s="15"/>
      <c r="D13" s="15"/>
      <c r="E13" s="15"/>
      <c r="F13" s="30"/>
      <c r="G13" s="30"/>
      <c r="H13" s="30"/>
      <c r="I13" s="15"/>
    </row>
    <row r="14" spans="1:10" x14ac:dyDescent="0.6">
      <c r="A14" s="10" t="s">
        <v>27</v>
      </c>
      <c r="B14" s="16"/>
      <c r="C14" s="16"/>
      <c r="D14" s="16"/>
      <c r="E14" s="16"/>
      <c r="F14" s="31"/>
      <c r="G14" s="31"/>
      <c r="H14" s="31"/>
      <c r="I14" s="16"/>
    </row>
    <row r="15" spans="1:10" x14ac:dyDescent="0.6">
      <c r="F15" s="28"/>
      <c r="G15" s="28"/>
      <c r="H15" s="28"/>
    </row>
    <row r="16" spans="1:10" x14ac:dyDescent="0.6">
      <c r="F16" s="28"/>
      <c r="G16" s="28"/>
      <c r="H16" s="28"/>
    </row>
    <row r="17" spans="1:9" x14ac:dyDescent="0.6">
      <c r="A17" s="21" t="s">
        <v>82</v>
      </c>
      <c r="B17" s="22">
        <f t="shared" ref="B17:I17" si="1">B10+B14</f>
        <v>138270</v>
      </c>
      <c r="C17" s="22">
        <f t="shared" si="1"/>
        <v>0</v>
      </c>
      <c r="D17" s="22">
        <f t="shared" si="1"/>
        <v>20422</v>
      </c>
      <c r="E17" s="22">
        <f t="shared" si="1"/>
        <v>117848</v>
      </c>
      <c r="F17" s="27">
        <f t="shared" si="1"/>
        <v>82493</v>
      </c>
      <c r="G17" s="27">
        <f t="shared" si="1"/>
        <v>0</v>
      </c>
      <c r="H17" s="27">
        <f t="shared" si="1"/>
        <v>82493</v>
      </c>
      <c r="I17" s="22">
        <f t="shared" si="1"/>
        <v>35355</v>
      </c>
    </row>
    <row r="19" spans="1:9" x14ac:dyDescent="0.6">
      <c r="B19" s="24" t="b">
        <f>B17='컨텐츠별 매출 통계'!CA7</f>
        <v>1</v>
      </c>
      <c r="C19" s="24"/>
      <c r="D19" s="24" t="b">
        <f>D17='컨텐츠별 매출 통계'!CB7</f>
        <v>1</v>
      </c>
      <c r="E19" s="24" t="b">
        <f>E17='컨텐츠별 매출 통계'!CC7</f>
        <v>1</v>
      </c>
      <c r="F19" s="24" t="b">
        <f>F17='컨텐츠별 매출 통계'!CN7</f>
        <v>1</v>
      </c>
      <c r="G19" s="24" t="b">
        <f>G17='컨텐츠별 매출 통계'!CO7</f>
        <v>1</v>
      </c>
      <c r="H19" s="24" t="b">
        <f>H17='컨텐츠별 매출 통계'!CP7</f>
        <v>1</v>
      </c>
      <c r="I19" s="24"/>
    </row>
    <row r="20" spans="1:9" x14ac:dyDescent="0.6">
      <c r="A20" s="12"/>
    </row>
    <row r="21" spans="1:9" x14ac:dyDescent="0.6">
      <c r="A21" s="12"/>
    </row>
    <row r="22" spans="1:9" x14ac:dyDescent="0.6">
      <c r="A22" s="12"/>
    </row>
    <row r="23" spans="1:9" x14ac:dyDescent="0.6">
      <c r="A23" s="12"/>
    </row>
    <row r="24" spans="1:9" x14ac:dyDescent="0.6">
      <c r="A24" s="12"/>
    </row>
    <row r="25" spans="1:9" x14ac:dyDescent="0.6">
      <c r="A25" s="12"/>
    </row>
    <row r="26" spans="1:9" x14ac:dyDescent="0.6">
      <c r="A26" s="12"/>
    </row>
    <row r="27" spans="1:9" x14ac:dyDescent="0.6">
      <c r="A27" s="12"/>
    </row>
    <row r="28" spans="1:9" x14ac:dyDescent="0.6">
      <c r="A28" s="12"/>
    </row>
    <row r="29" spans="1:9" x14ac:dyDescent="0.6">
      <c r="A29" s="12"/>
    </row>
    <row r="30" spans="1:9" x14ac:dyDescent="0.6">
      <c r="A30" s="12"/>
    </row>
    <row r="31" spans="1:9" x14ac:dyDescent="0.6">
      <c r="A31" s="12"/>
    </row>
    <row r="32" spans="1:9" x14ac:dyDescent="0.6">
      <c r="A32" s="12"/>
    </row>
    <row r="33" spans="1:3" x14ac:dyDescent="0.6">
      <c r="A33" s="12"/>
    </row>
    <row r="34" spans="1:3" x14ac:dyDescent="0.6">
      <c r="A34" s="12"/>
    </row>
    <row r="35" spans="1:3" x14ac:dyDescent="0.6">
      <c r="A35" s="12"/>
    </row>
    <row r="36" spans="1:3" x14ac:dyDescent="0.6">
      <c r="B36"/>
      <c r="C36"/>
    </row>
    <row r="37" spans="1:3" x14ac:dyDescent="0.6">
      <c r="B37"/>
      <c r="C37"/>
    </row>
    <row r="38" spans="1:3" x14ac:dyDescent="0.6">
      <c r="B38"/>
      <c r="C38"/>
    </row>
  </sheetData>
  <phoneticPr fontId="1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623BA-7E55-4701-812B-D3D5EED552AB}">
  <sheetPr>
    <tabColor theme="0" tint="-0.249977111117893"/>
  </sheetPr>
  <dimension ref="H26:K28"/>
  <sheetViews>
    <sheetView showGridLines="0" workbookViewId="0">
      <selection activeCell="J27" sqref="J27"/>
    </sheetView>
  </sheetViews>
  <sheetFormatPr defaultRowHeight="16.899999999999999" x14ac:dyDescent="0.6"/>
  <sheetData>
    <row r="26" spans="8:11" x14ac:dyDescent="0.6">
      <c r="H26" s="35" t="s">
        <v>103</v>
      </c>
      <c r="I26" s="35" t="s">
        <v>104</v>
      </c>
      <c r="J26" s="35" t="s">
        <v>105</v>
      </c>
      <c r="K26" s="34"/>
    </row>
    <row r="27" spans="8:11" x14ac:dyDescent="0.6">
      <c r="H27" s="34">
        <v>82493</v>
      </c>
      <c r="I27" s="34">
        <v>0</v>
      </c>
      <c r="J27" s="34">
        <v>82493</v>
      </c>
      <c r="K27" s="34"/>
    </row>
    <row r="28" spans="8:11" x14ac:dyDescent="0.6">
      <c r="H28" s="34" t="b">
        <f>H27='1월_정산내역서'!F17</f>
        <v>1</v>
      </c>
      <c r="I28" s="34" t="b">
        <f>I27='1월_정산내역서'!G17</f>
        <v>1</v>
      </c>
      <c r="J28" s="34" t="b">
        <f>J27='1월_정산내역서'!H17</f>
        <v>1</v>
      </c>
      <c r="K28" s="34"/>
    </row>
  </sheetData>
  <phoneticPr fontId="1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CDD78-3B75-4FDF-B020-A0D761B9C4B7}">
  <dimension ref="A1:CV15"/>
  <sheetViews>
    <sheetView showGridLines="0" zoomScale="90" zoomScaleNormal="90" workbookViewId="0">
      <pane ySplit="6" topLeftCell="A7" activePane="bottomLeft" state="frozen"/>
      <selection pane="bottomLeft" activeCell="CA25" sqref="CA25"/>
    </sheetView>
  </sheetViews>
  <sheetFormatPr defaultRowHeight="16.899999999999999" outlineLevelCol="1" x14ac:dyDescent="0.6"/>
  <cols>
    <col min="1" max="1" width="16.375" style="1" customWidth="1"/>
    <col min="2" max="2" width="8.125" style="1" customWidth="1"/>
    <col min="3" max="3" width="9" style="1" hidden="1" customWidth="1" outlineLevel="1"/>
    <col min="4" max="4" width="16.25" style="1" hidden="1" customWidth="1" outlineLevel="1"/>
    <col min="5" max="5" width="6" style="1" hidden="1" customWidth="1" outlineLevel="1"/>
    <col min="6" max="6" width="12.75" style="1" hidden="1" customWidth="1" outlineLevel="1"/>
    <col min="7" max="7" width="15.25" style="1" hidden="1" customWidth="1" outlineLevel="1"/>
    <col min="8" max="8" width="9.25" style="1" hidden="1" customWidth="1" outlineLevel="1"/>
    <col min="9" max="9" width="4.5" style="3" hidden="1" customWidth="1" outlineLevel="1"/>
    <col min="10" max="10" width="7.25" style="3" hidden="1" customWidth="1" outlineLevel="1"/>
    <col min="11" max="11" width="9" style="3" hidden="1" customWidth="1" outlineLevel="1"/>
    <col min="12" max="13" width="7.5" style="3" hidden="1" customWidth="1" outlineLevel="1"/>
    <col min="14" max="15" width="7.875" style="3" hidden="1" customWidth="1" outlineLevel="1"/>
    <col min="16" max="17" width="13.875" style="3" hidden="1" customWidth="1" outlineLevel="1"/>
    <col min="18" max="18" width="4.5" style="3" hidden="1" customWidth="1" outlineLevel="1"/>
    <col min="19" max="19" width="6" style="3" hidden="1" customWidth="1" outlineLevel="1"/>
    <col min="20" max="20" width="9" style="3" hidden="1" customWidth="1" outlineLevel="1"/>
    <col min="21" max="22" width="7.5" style="3" hidden="1" customWidth="1" outlineLevel="1"/>
    <col min="23" max="24" width="7.875" style="3" hidden="1" customWidth="1" outlineLevel="1"/>
    <col min="25" max="26" width="13.875" style="3" hidden="1" customWidth="1" outlineLevel="1"/>
    <col min="27" max="27" width="5.125" style="3" hidden="1" customWidth="1" outlineLevel="1"/>
    <col min="28" max="29" width="7.25" style="3" hidden="1" customWidth="1" outlineLevel="1"/>
    <col min="30" max="30" width="5.125" style="3" hidden="1" customWidth="1" outlineLevel="1"/>
    <col min="31" max="32" width="7.25" style="3" hidden="1" customWidth="1" outlineLevel="1"/>
    <col min="33" max="33" width="5.125" style="3" hidden="1" customWidth="1" outlineLevel="1"/>
    <col min="34" max="34" width="8.125" style="3" hidden="1" customWidth="1" outlineLevel="1"/>
    <col min="35" max="35" width="7.25" style="3" hidden="1" customWidth="1" outlineLevel="1"/>
    <col min="36" max="36" width="5.125" style="3" hidden="1" customWidth="1" outlineLevel="1"/>
    <col min="37" max="37" width="7.25" style="3" hidden="1" customWidth="1" outlineLevel="1"/>
    <col min="38" max="38" width="3.5" style="3" hidden="1" customWidth="1" outlineLevel="1"/>
    <col min="39" max="39" width="5.125" style="3" hidden="1" customWidth="1" outlineLevel="1"/>
    <col min="40" max="40" width="7.25" style="3" hidden="1" customWidth="1" outlineLevel="1"/>
    <col min="41" max="41" width="5.125" style="3" hidden="1" customWidth="1" outlineLevel="1"/>
    <col min="42" max="42" width="4.25" style="3" hidden="1" customWidth="1" outlineLevel="1"/>
    <col min="43" max="43" width="6.375" style="3" hidden="1" customWidth="1" outlineLevel="1"/>
    <col min="44" max="44" width="3.5" style="3" hidden="1" customWidth="1" outlineLevel="1"/>
    <col min="45" max="45" width="5.125" style="3" hidden="1" customWidth="1" outlineLevel="1"/>
    <col min="46" max="46" width="8.125" style="3" hidden="1" customWidth="1" outlineLevel="1"/>
    <col min="47" max="47" width="6.375" style="3" hidden="1" customWidth="1" outlineLevel="1"/>
    <col min="48" max="48" width="5.125" style="3" hidden="1" customWidth="1" outlineLevel="1"/>
    <col min="49" max="49" width="7.25" style="3" hidden="1" customWidth="1" outlineLevel="1"/>
    <col min="50" max="50" width="3.5" style="3" hidden="1" customWidth="1" outlineLevel="1"/>
    <col min="51" max="51" width="5.125" style="3" hidden="1" customWidth="1" outlineLevel="1"/>
    <col min="52" max="52" width="8.125" style="3" hidden="1" customWidth="1" outlineLevel="1"/>
    <col min="53" max="53" width="6.375" style="3" hidden="1" customWidth="1" outlineLevel="1"/>
    <col min="54" max="54" width="5.125" style="3" hidden="1" customWidth="1" outlineLevel="1"/>
    <col min="55" max="55" width="7.25" style="3" hidden="1" customWidth="1" outlineLevel="1"/>
    <col min="56" max="57" width="5" style="3" hidden="1" customWidth="1" outlineLevel="1"/>
    <col min="58" max="58" width="6.375" style="3" hidden="1" customWidth="1" outlineLevel="1"/>
    <col min="59" max="62" width="5" style="3" hidden="1" customWidth="1" outlineLevel="1"/>
    <col min="63" max="63" width="4.25" style="3" hidden="1" customWidth="1" outlineLevel="1"/>
    <col min="64" max="64" width="6.375" style="3" hidden="1" customWidth="1" outlineLevel="1"/>
    <col min="65" max="68" width="3.5" style="3" hidden="1" customWidth="1" outlineLevel="1"/>
    <col min="69" max="69" width="13.375" style="3" hidden="1" customWidth="1" outlineLevel="1"/>
    <col min="70" max="70" width="15" style="3" hidden="1" customWidth="1" outlineLevel="1"/>
    <col min="71" max="71" width="9.25" style="3" hidden="1" customWidth="1" outlineLevel="1"/>
    <col min="72" max="72" width="9.5" style="1" customWidth="1" collapsed="1"/>
    <col min="73" max="73" width="9.5" style="1" bestFit="1" customWidth="1"/>
    <col min="74" max="74" width="10.625" style="1" customWidth="1"/>
    <col min="75" max="75" width="9.625" style="1" customWidth="1"/>
    <col min="76" max="76" width="10" style="1" customWidth="1"/>
    <col min="77" max="77" width="9.625" style="1" customWidth="1"/>
    <col min="78" max="79" width="9.375" style="1" customWidth="1"/>
    <col min="80" max="80" width="9.5" style="1" bestFit="1" customWidth="1"/>
    <col min="81" max="82" width="10" style="1" bestFit="1" customWidth="1"/>
    <col min="83" max="83" width="3.75" style="1" bestFit="1" customWidth="1"/>
    <col min="84" max="85" width="7.375" style="2" bestFit="1" customWidth="1"/>
    <col min="86" max="86" width="14.375" style="2" bestFit="1" customWidth="1"/>
    <col min="87" max="87" width="10.375" style="2" customWidth="1"/>
    <col min="88" max="88" width="7.5" style="2" hidden="1" customWidth="1"/>
    <col min="89" max="89" width="11.125" style="2" hidden="1" customWidth="1"/>
    <col min="90" max="90" width="9" style="2"/>
    <col min="91" max="91" width="9" style="2" hidden="1" customWidth="1"/>
    <col min="92" max="92" width="10" style="2" bestFit="1" customWidth="1"/>
    <col min="93" max="93" width="7.5" style="2" bestFit="1" customWidth="1"/>
    <col min="94" max="94" width="10" style="2" bestFit="1" customWidth="1"/>
    <col min="95" max="95" width="1.625" style="1" customWidth="1"/>
    <col min="96" max="96" width="37.75" style="1" bestFit="1" customWidth="1"/>
    <col min="97" max="97" width="11.25" style="1" bestFit="1" customWidth="1"/>
    <col min="98" max="98" width="13.125" style="1" bestFit="1" customWidth="1"/>
    <col min="99" max="99" width="15.125" style="1" bestFit="1" customWidth="1"/>
    <col min="100" max="100" width="9.375" style="1" bestFit="1" customWidth="1"/>
  </cols>
  <sheetData>
    <row r="1" spans="1:100" x14ac:dyDescent="0.6">
      <c r="A1" s="7" t="s">
        <v>64</v>
      </c>
    </row>
    <row r="3" spans="1:100" ht="19.5" customHeight="1" x14ac:dyDescent="0.6">
      <c r="A3" s="54" t="s">
        <v>0</v>
      </c>
      <c r="B3" s="54"/>
      <c r="C3" s="54"/>
      <c r="D3" s="54"/>
    </row>
    <row r="4" spans="1:100" x14ac:dyDescent="0.6">
      <c r="BT4" s="6">
        <v>0.1</v>
      </c>
      <c r="BU4" s="6">
        <v>0.1</v>
      </c>
      <c r="BV4" s="6">
        <v>0.1</v>
      </c>
      <c r="BW4" s="6">
        <v>0.1</v>
      </c>
      <c r="BX4" s="6">
        <v>0.1</v>
      </c>
      <c r="BY4" s="6">
        <v>0.15</v>
      </c>
      <c r="BZ4" s="6">
        <v>0.3</v>
      </c>
      <c r="CA4" s="6"/>
      <c r="CB4" s="5"/>
      <c r="CC4" s="5"/>
      <c r="CD4" s="5">
        <v>0.7</v>
      </c>
    </row>
    <row r="5" spans="1:100" ht="16.5" customHeight="1" x14ac:dyDescent="0.6">
      <c r="A5" s="55" t="s">
        <v>1</v>
      </c>
      <c r="B5" s="55" t="s">
        <v>2</v>
      </c>
      <c r="C5" s="56" t="s">
        <v>3</v>
      </c>
      <c r="D5" s="55" t="s">
        <v>4</v>
      </c>
      <c r="E5" s="55" t="s">
        <v>5</v>
      </c>
      <c r="F5" s="55" t="s">
        <v>6</v>
      </c>
      <c r="G5" s="56" t="s">
        <v>7</v>
      </c>
      <c r="H5" s="56" t="s">
        <v>8</v>
      </c>
      <c r="I5" s="57" t="s">
        <v>9</v>
      </c>
      <c r="J5" s="57"/>
      <c r="K5" s="57"/>
      <c r="L5" s="57"/>
      <c r="M5" s="57"/>
      <c r="N5" s="57"/>
      <c r="O5" s="57"/>
      <c r="P5" s="57"/>
      <c r="Q5" s="57"/>
      <c r="R5" s="58" t="s">
        <v>10</v>
      </c>
      <c r="S5" s="58"/>
      <c r="T5" s="58"/>
      <c r="U5" s="58"/>
      <c r="V5" s="58"/>
      <c r="W5" s="58"/>
      <c r="X5" s="58"/>
      <c r="Y5" s="58"/>
      <c r="Z5" s="58"/>
      <c r="AA5" s="57" t="s">
        <v>11</v>
      </c>
      <c r="AB5" s="57"/>
      <c r="AC5" s="57"/>
      <c r="AD5" s="58" t="s">
        <v>12</v>
      </c>
      <c r="AE5" s="58"/>
      <c r="AF5" s="58"/>
      <c r="AG5" s="57" t="s">
        <v>13</v>
      </c>
      <c r="AH5" s="57"/>
      <c r="AI5" s="57"/>
      <c r="AJ5" s="58" t="s">
        <v>14</v>
      </c>
      <c r="AK5" s="58"/>
      <c r="AL5" s="58"/>
      <c r="AM5" s="57" t="s">
        <v>15</v>
      </c>
      <c r="AN5" s="57"/>
      <c r="AO5" s="57"/>
      <c r="AP5" s="58" t="s">
        <v>16</v>
      </c>
      <c r="AQ5" s="58"/>
      <c r="AR5" s="58"/>
      <c r="AS5" s="57" t="s">
        <v>17</v>
      </c>
      <c r="AT5" s="57"/>
      <c r="AU5" s="57"/>
      <c r="AV5" s="58" t="s">
        <v>18</v>
      </c>
      <c r="AW5" s="58"/>
      <c r="AX5" s="58"/>
      <c r="AY5" s="57" t="s">
        <v>19</v>
      </c>
      <c r="AZ5" s="57"/>
      <c r="BA5" s="57"/>
      <c r="BB5" s="58" t="s">
        <v>20</v>
      </c>
      <c r="BC5" s="58"/>
      <c r="BD5" s="58"/>
      <c r="BE5" s="57" t="s">
        <v>21</v>
      </c>
      <c r="BF5" s="57"/>
      <c r="BG5" s="57"/>
      <c r="BH5" s="58" t="s">
        <v>22</v>
      </c>
      <c r="BI5" s="58"/>
      <c r="BJ5" s="58"/>
      <c r="BK5" s="57" t="s">
        <v>23</v>
      </c>
      <c r="BL5" s="57"/>
      <c r="BM5" s="57"/>
      <c r="BN5" s="58" t="s">
        <v>24</v>
      </c>
      <c r="BO5" s="58"/>
      <c r="BP5" s="58"/>
      <c r="BQ5" s="59" t="s">
        <v>25</v>
      </c>
      <c r="BR5" s="59" t="s">
        <v>26</v>
      </c>
      <c r="BS5" s="59" t="s">
        <v>27</v>
      </c>
      <c r="BT5" s="71" t="s">
        <v>63</v>
      </c>
      <c r="BU5" s="71" t="s">
        <v>62</v>
      </c>
      <c r="BV5" s="71" t="s">
        <v>61</v>
      </c>
      <c r="BW5" s="71" t="s">
        <v>60</v>
      </c>
      <c r="BX5" s="71" t="s">
        <v>59</v>
      </c>
      <c r="BY5" s="71" t="s">
        <v>58</v>
      </c>
      <c r="BZ5" s="71" t="s">
        <v>57</v>
      </c>
      <c r="CA5" s="71" t="s">
        <v>56</v>
      </c>
      <c r="CB5" s="71" t="s">
        <v>55</v>
      </c>
      <c r="CC5" s="74" t="s">
        <v>41</v>
      </c>
      <c r="CD5" s="62" t="s">
        <v>54</v>
      </c>
      <c r="CF5" s="64" t="s">
        <v>53</v>
      </c>
      <c r="CG5" s="66" t="s">
        <v>52</v>
      </c>
      <c r="CH5" s="66" t="s">
        <v>51</v>
      </c>
      <c r="CI5" s="68" t="s">
        <v>50</v>
      </c>
      <c r="CJ5" s="68" t="s">
        <v>49</v>
      </c>
      <c r="CK5" s="68" t="s">
        <v>27</v>
      </c>
      <c r="CL5" s="72" t="s">
        <v>48</v>
      </c>
      <c r="CM5" s="60" t="s">
        <v>47</v>
      </c>
      <c r="CN5" s="62" t="s">
        <v>65</v>
      </c>
      <c r="CO5" s="62" t="s">
        <v>66</v>
      </c>
      <c r="CP5" s="62" t="s">
        <v>67</v>
      </c>
      <c r="CR5" s="70" t="s">
        <v>46</v>
      </c>
      <c r="CS5" s="70" t="s">
        <v>45</v>
      </c>
      <c r="CT5" s="70" t="s">
        <v>44</v>
      </c>
      <c r="CU5" s="70" t="s">
        <v>43</v>
      </c>
      <c r="CV5" s="70" t="s">
        <v>42</v>
      </c>
    </row>
    <row r="6" spans="1:100" ht="27" customHeight="1" x14ac:dyDescent="0.6">
      <c r="A6" s="55"/>
      <c r="B6" s="55"/>
      <c r="C6" s="56"/>
      <c r="D6" s="55"/>
      <c r="E6" s="55"/>
      <c r="F6" s="55"/>
      <c r="G6" s="56"/>
      <c r="H6" s="56"/>
      <c r="I6" s="4" t="s">
        <v>28</v>
      </c>
      <c r="J6" s="4" t="s">
        <v>29</v>
      </c>
      <c r="K6" s="4" t="s">
        <v>30</v>
      </c>
      <c r="L6" s="4" t="s">
        <v>31</v>
      </c>
      <c r="M6" s="4" t="s">
        <v>32</v>
      </c>
      <c r="N6" s="4" t="s">
        <v>33</v>
      </c>
      <c r="O6" s="4" t="s">
        <v>34</v>
      </c>
      <c r="P6" s="4" t="s">
        <v>35</v>
      </c>
      <c r="Q6" s="4" t="s">
        <v>36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28</v>
      </c>
      <c r="AB6" s="4" t="s">
        <v>37</v>
      </c>
      <c r="AC6" s="4" t="s">
        <v>38</v>
      </c>
      <c r="AD6" s="4" t="s">
        <v>28</v>
      </c>
      <c r="AE6" s="4" t="s">
        <v>37</v>
      </c>
      <c r="AF6" s="4" t="s">
        <v>38</v>
      </c>
      <c r="AG6" s="4" t="s">
        <v>28</v>
      </c>
      <c r="AH6" s="4" t="s">
        <v>37</v>
      </c>
      <c r="AI6" s="4" t="s">
        <v>38</v>
      </c>
      <c r="AJ6" s="4" t="s">
        <v>28</v>
      </c>
      <c r="AK6" s="4" t="s">
        <v>37</v>
      </c>
      <c r="AL6" s="4" t="s">
        <v>38</v>
      </c>
      <c r="AM6" s="4" t="s">
        <v>28</v>
      </c>
      <c r="AN6" s="4" t="s">
        <v>37</v>
      </c>
      <c r="AO6" s="4" t="s">
        <v>38</v>
      </c>
      <c r="AP6" s="4" t="s">
        <v>28</v>
      </c>
      <c r="AQ6" s="4" t="s">
        <v>37</v>
      </c>
      <c r="AR6" s="4" t="s">
        <v>38</v>
      </c>
      <c r="AS6" s="4" t="s">
        <v>28</v>
      </c>
      <c r="AT6" s="4" t="s">
        <v>37</v>
      </c>
      <c r="AU6" s="4" t="s">
        <v>38</v>
      </c>
      <c r="AV6" s="4" t="s">
        <v>28</v>
      </c>
      <c r="AW6" s="4" t="s">
        <v>37</v>
      </c>
      <c r="AX6" s="4" t="s">
        <v>38</v>
      </c>
      <c r="AY6" s="4" t="s">
        <v>28</v>
      </c>
      <c r="AZ6" s="4" t="s">
        <v>37</v>
      </c>
      <c r="BA6" s="4" t="s">
        <v>38</v>
      </c>
      <c r="BB6" s="4" t="s">
        <v>28</v>
      </c>
      <c r="BC6" s="4" t="s">
        <v>37</v>
      </c>
      <c r="BD6" s="4" t="s">
        <v>38</v>
      </c>
      <c r="BE6" s="4" t="s">
        <v>28</v>
      </c>
      <c r="BF6" s="4" t="s">
        <v>37</v>
      </c>
      <c r="BG6" s="4" t="s">
        <v>38</v>
      </c>
      <c r="BH6" s="4" t="s">
        <v>28</v>
      </c>
      <c r="BI6" s="4" t="s">
        <v>37</v>
      </c>
      <c r="BJ6" s="4" t="s">
        <v>38</v>
      </c>
      <c r="BK6" s="4" t="s">
        <v>28</v>
      </c>
      <c r="BL6" s="4" t="s">
        <v>37</v>
      </c>
      <c r="BM6" s="4" t="s">
        <v>38</v>
      </c>
      <c r="BN6" s="4" t="s">
        <v>28</v>
      </c>
      <c r="BO6" s="4" t="s">
        <v>37</v>
      </c>
      <c r="BP6" s="4" t="s">
        <v>38</v>
      </c>
      <c r="BQ6" s="59"/>
      <c r="BR6" s="59"/>
      <c r="BS6" s="59"/>
      <c r="BT6" s="71"/>
      <c r="BU6" s="71"/>
      <c r="BV6" s="71"/>
      <c r="BW6" s="71"/>
      <c r="BX6" s="71"/>
      <c r="BY6" s="71"/>
      <c r="BZ6" s="71"/>
      <c r="CA6" s="71"/>
      <c r="CB6" s="71"/>
      <c r="CC6" s="74" t="s">
        <v>41</v>
      </c>
      <c r="CD6" s="63"/>
      <c r="CF6" s="65"/>
      <c r="CG6" s="67"/>
      <c r="CH6" s="67"/>
      <c r="CI6" s="69"/>
      <c r="CJ6" s="69"/>
      <c r="CK6" s="69"/>
      <c r="CL6" s="73"/>
      <c r="CM6" s="61"/>
      <c r="CN6" s="63"/>
      <c r="CO6" s="63"/>
      <c r="CP6" s="63"/>
      <c r="CR6" s="70"/>
      <c r="CS6" s="70"/>
      <c r="CT6" s="70"/>
      <c r="CU6" s="70"/>
      <c r="CV6" s="70"/>
    </row>
    <row r="7" spans="1:100" s="40" customFormat="1" ht="13.15" x14ac:dyDescent="0.6">
      <c r="A7" s="48" t="s">
        <v>98</v>
      </c>
      <c r="B7" s="48">
        <v>339802</v>
      </c>
      <c r="C7" s="49"/>
      <c r="D7" s="48" t="s">
        <v>99</v>
      </c>
      <c r="E7" s="48" t="s">
        <v>100</v>
      </c>
      <c r="F7" s="48" t="s">
        <v>100</v>
      </c>
      <c r="G7" s="50" t="s">
        <v>101</v>
      </c>
      <c r="H7" s="50" t="s">
        <v>102</v>
      </c>
      <c r="I7" s="50">
        <v>0</v>
      </c>
      <c r="J7" s="51">
        <v>7335</v>
      </c>
      <c r="K7" s="50">
        <v>0</v>
      </c>
      <c r="L7" s="50">
        <v>0</v>
      </c>
      <c r="M7" s="50">
        <v>0</v>
      </c>
      <c r="N7" s="50">
        <v>0</v>
      </c>
      <c r="O7" s="50">
        <v>0</v>
      </c>
      <c r="P7" s="50">
        <v>0</v>
      </c>
      <c r="Q7" s="50">
        <v>0</v>
      </c>
      <c r="R7" s="50">
        <v>0</v>
      </c>
      <c r="S7" s="50">
        <v>0</v>
      </c>
      <c r="T7" s="50">
        <v>0</v>
      </c>
      <c r="U7" s="50">
        <v>0</v>
      </c>
      <c r="V7" s="50">
        <v>0</v>
      </c>
      <c r="W7" s="50">
        <v>0</v>
      </c>
      <c r="X7" s="50">
        <v>0</v>
      </c>
      <c r="Y7" s="50">
        <v>0</v>
      </c>
      <c r="Z7" s="50">
        <v>0</v>
      </c>
      <c r="AA7" s="50">
        <v>242</v>
      </c>
      <c r="AB7" s="51">
        <v>19200</v>
      </c>
      <c r="AC7" s="51">
        <v>28570</v>
      </c>
      <c r="AD7" s="50">
        <v>0</v>
      </c>
      <c r="AE7" s="50">
        <v>0</v>
      </c>
      <c r="AF7" s="50">
        <v>0</v>
      </c>
      <c r="AG7" s="50">
        <v>223</v>
      </c>
      <c r="AH7" s="51">
        <v>32160</v>
      </c>
      <c r="AI7" s="51">
        <v>17500</v>
      </c>
      <c r="AJ7" s="50">
        <v>0</v>
      </c>
      <c r="AK7" s="50">
        <v>0</v>
      </c>
      <c r="AL7" s="50">
        <v>0</v>
      </c>
      <c r="AM7" s="50">
        <v>2</v>
      </c>
      <c r="AN7" s="50">
        <v>400</v>
      </c>
      <c r="AO7" s="50">
        <v>0</v>
      </c>
      <c r="AP7" s="50">
        <v>0</v>
      </c>
      <c r="AQ7" s="50">
        <v>0</v>
      </c>
      <c r="AR7" s="50">
        <v>0</v>
      </c>
      <c r="AS7" s="50">
        <v>126</v>
      </c>
      <c r="AT7" s="51">
        <v>29640</v>
      </c>
      <c r="AU7" s="50">
        <v>0</v>
      </c>
      <c r="AV7" s="50">
        <v>0</v>
      </c>
      <c r="AW7" s="50">
        <v>0</v>
      </c>
      <c r="AX7" s="50">
        <v>0</v>
      </c>
      <c r="AY7" s="50">
        <v>30</v>
      </c>
      <c r="AZ7" s="51">
        <v>7200</v>
      </c>
      <c r="BA7" s="50">
        <v>0</v>
      </c>
      <c r="BB7" s="50">
        <v>0</v>
      </c>
      <c r="BC7" s="50">
        <v>0</v>
      </c>
      <c r="BD7" s="50">
        <v>0</v>
      </c>
      <c r="BE7" s="50">
        <v>0</v>
      </c>
      <c r="BF7" s="50">
        <v>0</v>
      </c>
      <c r="BG7" s="50">
        <v>0</v>
      </c>
      <c r="BH7" s="50">
        <v>0</v>
      </c>
      <c r="BI7" s="50">
        <v>0</v>
      </c>
      <c r="BJ7" s="50">
        <v>0</v>
      </c>
      <c r="BK7" s="50">
        <v>18</v>
      </c>
      <c r="BL7" s="51">
        <v>3600</v>
      </c>
      <c r="BM7" s="50">
        <v>0</v>
      </c>
      <c r="BN7" s="50">
        <v>0</v>
      </c>
      <c r="BO7" s="50">
        <v>0</v>
      </c>
      <c r="BP7" s="50">
        <v>0</v>
      </c>
      <c r="BQ7" s="50">
        <v>0</v>
      </c>
      <c r="BR7" s="52">
        <v>14388</v>
      </c>
      <c r="BS7" s="53">
        <v>138270</v>
      </c>
      <c r="BT7" s="41">
        <f t="shared" ref="BT7" si="0">BF7+BI7</f>
        <v>0</v>
      </c>
      <c r="BU7" s="41">
        <f t="shared" ref="BU7" si="1">AC7+AF7+AI7+AL7+AO7+AR7+AU7+AX7+BA7+BD7+BG7+BJ7+BM7+BP7</f>
        <v>46070</v>
      </c>
      <c r="BV7" s="41">
        <f t="shared" ref="BV7" si="2">AQ7+AN7+AB7+AE7</f>
        <v>19600</v>
      </c>
      <c r="BW7" s="41">
        <f t="shared" ref="BW7" si="3">AT7+AW7</f>
        <v>29640</v>
      </c>
      <c r="BX7" s="41">
        <f t="shared" ref="BX7" si="4">BC7+AZ7</f>
        <v>7200</v>
      </c>
      <c r="BY7" s="41">
        <f t="shared" ref="BY7" si="5">BL7+BO7</f>
        <v>3600</v>
      </c>
      <c r="BZ7" s="41">
        <f t="shared" ref="BZ7" si="6">AH7+AK7</f>
        <v>32160</v>
      </c>
      <c r="CA7" s="41">
        <f t="shared" ref="CA7" si="7">SUM(BT7:BZ7)</f>
        <v>138270</v>
      </c>
      <c r="CB7" s="46">
        <f>ROUND(((BT7*$BT$4)+(BU7*$BU$4)+(BV7*$BV$4)+(BW7*$BW$4)+(BX7*$BX$4)+(BY7*$BY$4)+(BZ7*$BZ$4)),0)-17</f>
        <v>20422</v>
      </c>
      <c r="CC7" s="41">
        <f t="shared" ref="CC7" si="8">CA7-CB7</f>
        <v>117848</v>
      </c>
      <c r="CD7" s="42">
        <f t="shared" ref="CD7" si="9">ROUND(CC7*$CD$4,0)</f>
        <v>82494</v>
      </c>
      <c r="CE7" s="44"/>
      <c r="CF7" s="36" t="s">
        <v>107</v>
      </c>
      <c r="CG7" s="36" t="str">
        <f t="shared" ref="CG7" si="10">CF7</f>
        <v>2026-01</v>
      </c>
      <c r="CH7" s="37" t="s">
        <v>97</v>
      </c>
      <c r="CI7" s="37">
        <f t="shared" ref="CI7" si="11">CD7</f>
        <v>82494</v>
      </c>
      <c r="CJ7" s="37">
        <v>0</v>
      </c>
      <c r="CK7" s="37">
        <f t="shared" ref="CK7" si="12">CI7+CJ7</f>
        <v>82494</v>
      </c>
      <c r="CL7" s="37">
        <v>-1</v>
      </c>
      <c r="CM7" s="37"/>
      <c r="CN7" s="37">
        <f t="shared" ref="CN7" si="13">CI7+CL7</f>
        <v>82493</v>
      </c>
      <c r="CO7" s="37">
        <f t="shared" ref="CO7" si="14">CJ7+CM7</f>
        <v>0</v>
      </c>
      <c r="CP7" s="37">
        <f t="shared" ref="CP7" si="15">CN7+CO7</f>
        <v>82493</v>
      </c>
      <c r="CR7" s="38" t="str">
        <f t="shared" ref="CR7" si="16">CF7&amp;"월국내유상이용권_웹툰&lt;"&amp;CH7&amp;"&gt;"</f>
        <v>2026-01월국내유상이용권_웹툰&lt;한남동케이하우스&gt;</v>
      </c>
      <c r="CS7" s="38" t="s">
        <v>39</v>
      </c>
      <c r="CT7" s="38" t="s">
        <v>97</v>
      </c>
      <c r="CU7" s="38" t="s">
        <v>40</v>
      </c>
      <c r="CV7" s="39">
        <f t="shared" ref="CV7" si="17">CN7</f>
        <v>82493</v>
      </c>
    </row>
    <row r="8" spans="1:100" s="40" customFormat="1" ht="13.15" x14ac:dyDescent="0.6">
      <c r="A8" s="44"/>
      <c r="B8" s="44"/>
      <c r="C8" s="44"/>
      <c r="D8" s="44"/>
      <c r="E8" s="44"/>
      <c r="F8" s="44"/>
      <c r="G8" s="44"/>
      <c r="H8" s="44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5"/>
      <c r="BS8" s="45"/>
      <c r="BT8" s="44"/>
      <c r="BU8" s="44"/>
      <c r="BV8" s="44"/>
      <c r="BW8" s="44"/>
      <c r="BX8" s="44"/>
      <c r="BY8" s="44"/>
      <c r="BZ8" s="44"/>
      <c r="CA8" s="44"/>
      <c r="CB8" s="44"/>
      <c r="CC8" s="44"/>
      <c r="CD8" s="44"/>
      <c r="CE8" s="44"/>
      <c r="CF8" s="43"/>
      <c r="CG8" s="43"/>
      <c r="CH8" s="43"/>
      <c r="CI8" s="43"/>
      <c r="CJ8" s="43"/>
      <c r="CK8" s="43"/>
      <c r="CL8" s="43"/>
      <c r="CM8" s="43"/>
      <c r="CN8" s="43"/>
      <c r="CO8" s="43"/>
      <c r="CP8" s="43"/>
      <c r="CQ8" s="44"/>
      <c r="CR8" s="44"/>
      <c r="CS8" s="44"/>
      <c r="CT8" s="44"/>
      <c r="CU8" s="44"/>
      <c r="CV8" s="44"/>
    </row>
    <row r="9" spans="1:100" s="40" customFormat="1" ht="13.15" x14ac:dyDescent="0.6">
      <c r="A9" s="44"/>
      <c r="B9" s="44"/>
      <c r="C9" s="44"/>
      <c r="D9" s="44"/>
      <c r="E9" s="44"/>
      <c r="F9" s="44"/>
      <c r="G9" s="44"/>
      <c r="H9" s="44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4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3"/>
      <c r="CG9" s="43"/>
      <c r="CH9" s="43"/>
      <c r="CI9" s="43"/>
      <c r="CJ9" s="43"/>
      <c r="CK9" s="43"/>
      <c r="CL9" s="43"/>
      <c r="CM9" s="43"/>
      <c r="CN9" s="43"/>
      <c r="CO9" s="43"/>
      <c r="CP9" s="43"/>
      <c r="CQ9" s="44"/>
      <c r="CR9" s="44"/>
      <c r="CS9" s="44"/>
      <c r="CT9" s="44"/>
      <c r="CU9" s="44"/>
      <c r="CV9" s="44"/>
    </row>
    <row r="10" spans="1:100" s="40" customFormat="1" ht="13.15" x14ac:dyDescent="0.6">
      <c r="A10" s="44"/>
      <c r="B10" s="44"/>
      <c r="C10" s="44"/>
      <c r="D10" s="44"/>
      <c r="E10" s="44"/>
      <c r="F10" s="44"/>
      <c r="G10" s="44"/>
      <c r="H10" s="44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3"/>
      <c r="CG10" s="43"/>
      <c r="CH10" s="43"/>
      <c r="CI10" s="43"/>
      <c r="CJ10" s="43"/>
      <c r="CK10" s="43"/>
      <c r="CL10" s="43"/>
      <c r="CM10" s="43"/>
      <c r="CN10" s="43"/>
      <c r="CO10" s="43"/>
      <c r="CP10" s="43"/>
      <c r="CQ10" s="44"/>
      <c r="CR10" s="44"/>
      <c r="CS10" s="44"/>
      <c r="CT10" s="44"/>
      <c r="CU10" s="44"/>
      <c r="CV10" s="44"/>
    </row>
    <row r="11" spans="1:100" s="40" customFormat="1" ht="13.15" x14ac:dyDescent="0.6">
      <c r="A11" s="44"/>
      <c r="B11" s="44"/>
      <c r="C11" s="44"/>
      <c r="D11" s="44"/>
      <c r="E11" s="44"/>
      <c r="F11" s="44"/>
      <c r="G11" s="44"/>
      <c r="H11" s="44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4"/>
      <c r="BU11" s="44"/>
      <c r="BV11" s="44"/>
      <c r="BW11" s="44"/>
      <c r="BX11" s="44"/>
      <c r="BY11" s="44"/>
      <c r="BZ11" s="44"/>
      <c r="CA11" s="44"/>
      <c r="CB11" s="47"/>
      <c r="CC11" s="44"/>
      <c r="CD11" s="44"/>
      <c r="CE11" s="44"/>
      <c r="CF11" s="43"/>
      <c r="CG11" s="43"/>
      <c r="CH11" s="43"/>
      <c r="CI11" s="43"/>
      <c r="CJ11" s="43"/>
      <c r="CK11" s="43"/>
      <c r="CL11" s="43"/>
      <c r="CM11" s="43"/>
      <c r="CN11" s="43"/>
      <c r="CO11" s="43"/>
      <c r="CP11" s="43"/>
      <c r="CQ11" s="44"/>
      <c r="CR11" s="44"/>
      <c r="CS11" s="44"/>
      <c r="CT11" s="44"/>
      <c r="CU11" s="44"/>
      <c r="CV11" s="44"/>
    </row>
    <row r="12" spans="1:100" s="40" customFormat="1" ht="13.15" x14ac:dyDescent="0.6">
      <c r="A12" s="44"/>
      <c r="B12" s="44"/>
      <c r="C12" s="44"/>
      <c r="D12" s="44"/>
      <c r="E12" s="44"/>
      <c r="F12" s="44"/>
      <c r="G12" s="44"/>
      <c r="H12" s="44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4"/>
      <c r="CR12" s="44"/>
      <c r="CS12" s="44"/>
      <c r="CT12" s="44"/>
      <c r="CU12" s="44"/>
      <c r="CV12" s="44"/>
    </row>
    <row r="13" spans="1:100" s="40" customFormat="1" ht="13.15" x14ac:dyDescent="0.6">
      <c r="A13" s="44"/>
      <c r="B13" s="44"/>
      <c r="C13" s="44"/>
      <c r="D13" s="44"/>
      <c r="E13" s="44"/>
      <c r="F13" s="44"/>
      <c r="G13" s="44"/>
      <c r="H13" s="44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3"/>
      <c r="CG13" s="43"/>
      <c r="CH13" s="43"/>
      <c r="CI13" s="43"/>
      <c r="CJ13" s="43"/>
      <c r="CK13" s="43"/>
      <c r="CL13" s="43"/>
      <c r="CM13" s="43"/>
      <c r="CN13" s="43"/>
      <c r="CO13" s="43"/>
      <c r="CP13" s="43"/>
      <c r="CQ13" s="44"/>
      <c r="CR13" s="44"/>
      <c r="CS13" s="44"/>
      <c r="CT13" s="44"/>
      <c r="CU13" s="44"/>
      <c r="CV13" s="44"/>
    </row>
    <row r="14" spans="1:100" s="40" customFormat="1" ht="13.15" x14ac:dyDescent="0.6">
      <c r="A14" s="44"/>
      <c r="B14" s="44"/>
      <c r="C14" s="44"/>
      <c r="D14" s="44"/>
      <c r="E14" s="44"/>
      <c r="F14" s="44"/>
      <c r="G14" s="44"/>
      <c r="H14" s="44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3"/>
      <c r="CG14" s="43"/>
      <c r="CH14" s="43"/>
      <c r="CI14" s="43"/>
      <c r="CJ14" s="43"/>
      <c r="CK14" s="43"/>
      <c r="CL14" s="43"/>
      <c r="CM14" s="43"/>
      <c r="CN14" s="43"/>
      <c r="CO14" s="43"/>
      <c r="CP14" s="43"/>
      <c r="CQ14" s="44"/>
      <c r="CR14" s="44"/>
      <c r="CS14" s="44"/>
      <c r="CT14" s="44"/>
      <c r="CU14" s="44"/>
      <c r="CV14" s="44"/>
    </row>
    <row r="15" spans="1:100" s="40" customFormat="1" ht="13.15" x14ac:dyDescent="0.6">
      <c r="A15" s="44"/>
      <c r="B15" s="44"/>
      <c r="C15" s="44"/>
      <c r="D15" s="44"/>
      <c r="E15" s="44"/>
      <c r="F15" s="44"/>
      <c r="G15" s="44"/>
      <c r="H15" s="44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3"/>
      <c r="CG15" s="43"/>
      <c r="CH15" s="43"/>
      <c r="CI15" s="43"/>
      <c r="CJ15" s="43"/>
      <c r="CK15" s="43"/>
      <c r="CL15" s="43"/>
      <c r="CM15" s="43"/>
      <c r="CN15" s="43"/>
      <c r="CO15" s="43"/>
      <c r="CP15" s="43"/>
      <c r="CQ15" s="44"/>
      <c r="CR15" s="44"/>
      <c r="CS15" s="44"/>
      <c r="CT15" s="44"/>
      <c r="CU15" s="44"/>
      <c r="CV15" s="44"/>
    </row>
  </sheetData>
  <mergeCells count="55">
    <mergeCell ref="CP5:CP6"/>
    <mergeCell ref="CR5:CR6"/>
    <mergeCell ref="CS5:CS6"/>
    <mergeCell ref="CT5:CT6"/>
    <mergeCell ref="CU5:CU6"/>
    <mergeCell ref="CV5:CV6"/>
    <mergeCell ref="CB5:CB6"/>
    <mergeCell ref="BT5:BT6"/>
    <mergeCell ref="CJ5:CJ6"/>
    <mergeCell ref="CK5:CK6"/>
    <mergeCell ref="CL5:CL6"/>
    <mergeCell ref="CA5:CA6"/>
    <mergeCell ref="CC5:CC6"/>
    <mergeCell ref="BY5:BY6"/>
    <mergeCell ref="BU5:BU6"/>
    <mergeCell ref="BV5:BV6"/>
    <mergeCell ref="BW5:BW6"/>
    <mergeCell ref="BZ5:BZ6"/>
    <mergeCell ref="BX5:BX6"/>
    <mergeCell ref="CN5:CN6"/>
    <mergeCell ref="CO5:CO6"/>
    <mergeCell ref="CM5:CM6"/>
    <mergeCell ref="BR5:BR6"/>
    <mergeCell ref="BS5:BS6"/>
    <mergeCell ref="AV5:AX5"/>
    <mergeCell ref="AY5:BA5"/>
    <mergeCell ref="BB5:BD5"/>
    <mergeCell ref="BE5:BG5"/>
    <mergeCell ref="BH5:BJ5"/>
    <mergeCell ref="BK5:BM5"/>
    <mergeCell ref="CD5:CD6"/>
    <mergeCell ref="CF5:CF6"/>
    <mergeCell ref="CG5:CG6"/>
    <mergeCell ref="CH5:CH6"/>
    <mergeCell ref="CI5:CI6"/>
    <mergeCell ref="AM5:AO5"/>
    <mergeCell ref="AP5:AR5"/>
    <mergeCell ref="AS5:AU5"/>
    <mergeCell ref="BN5:BP5"/>
    <mergeCell ref="BQ5:BQ6"/>
    <mergeCell ref="R5:Z5"/>
    <mergeCell ref="AA5:AC5"/>
    <mergeCell ref="AD5:AF5"/>
    <mergeCell ref="AG5:AI5"/>
    <mergeCell ref="AJ5:AL5"/>
    <mergeCell ref="E5:E6"/>
    <mergeCell ref="F5:F6"/>
    <mergeCell ref="G5:G6"/>
    <mergeCell ref="H5:H6"/>
    <mergeCell ref="I5:Q5"/>
    <mergeCell ref="A3:D3"/>
    <mergeCell ref="A5:A6"/>
    <mergeCell ref="B5:B6"/>
    <mergeCell ref="C5:C6"/>
    <mergeCell ref="D5:D6"/>
  </mergeCells>
  <phoneticPr fontId="1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4F30B-5FB7-4DC0-BA3F-0FAA8FAD11EE}">
  <dimension ref="B3:G5"/>
  <sheetViews>
    <sheetView showGridLines="0" workbookViewId="0">
      <selection activeCell="C5" sqref="C5"/>
    </sheetView>
  </sheetViews>
  <sheetFormatPr defaultRowHeight="16.899999999999999" x14ac:dyDescent="0.6"/>
  <cols>
    <col min="1" max="1" width="5.5" customWidth="1"/>
    <col min="2" max="3" width="10.5" customWidth="1"/>
    <col min="4" max="6" width="12.125" customWidth="1"/>
    <col min="7" max="7" width="30.5" customWidth="1"/>
  </cols>
  <sheetData>
    <row r="3" spans="2:7" x14ac:dyDescent="0.6">
      <c r="B3" s="75" t="s">
        <v>83</v>
      </c>
      <c r="C3" s="75"/>
      <c r="D3" s="75"/>
      <c r="E3" s="75"/>
      <c r="F3" s="75"/>
      <c r="G3" s="75"/>
    </row>
    <row r="4" spans="2:7" x14ac:dyDescent="0.6">
      <c r="B4" s="23" t="s">
        <v>84</v>
      </c>
      <c r="C4" s="23" t="s">
        <v>85</v>
      </c>
      <c r="D4" s="23" t="s">
        <v>86</v>
      </c>
      <c r="E4" s="23" t="s">
        <v>90</v>
      </c>
      <c r="F4" s="23" t="s">
        <v>92</v>
      </c>
      <c r="G4" s="23" t="s">
        <v>87</v>
      </c>
    </row>
    <row r="5" spans="2:7" x14ac:dyDescent="0.6">
      <c r="B5" s="32" t="s">
        <v>95</v>
      </c>
      <c r="C5" s="32" t="s">
        <v>96</v>
      </c>
      <c r="D5" s="33" t="s">
        <v>88</v>
      </c>
      <c r="E5" s="32" t="s">
        <v>91</v>
      </c>
      <c r="F5" s="32" t="s">
        <v>93</v>
      </c>
      <c r="G5" s="32" t="s">
        <v>89</v>
      </c>
    </row>
  </sheetData>
  <mergeCells count="1">
    <mergeCell ref="B3:G3"/>
  </mergeCells>
  <phoneticPr fontId="18" type="noConversion"/>
  <hyperlinks>
    <hyperlink ref="D5" r:id="rId1" xr:uid="{C40F5FEA-3E6C-49C5-A89C-589E3224F42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1월_정산내역서</vt:lpstr>
      <vt:lpstr>1월_세금계산서</vt:lpstr>
      <vt:lpstr>컨텐츠별 매출 통계</vt:lpstr>
      <vt:lpstr>로그인정보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더그림</dc:creator>
  <cp:lastModifiedBy>이 아름</cp:lastModifiedBy>
  <dcterms:created xsi:type="dcterms:W3CDTF">2025-05-02T01:59:35Z</dcterms:created>
  <dcterms:modified xsi:type="dcterms:W3CDTF">2026-02-02T06:17:52Z</dcterms:modified>
</cp:coreProperties>
</file>