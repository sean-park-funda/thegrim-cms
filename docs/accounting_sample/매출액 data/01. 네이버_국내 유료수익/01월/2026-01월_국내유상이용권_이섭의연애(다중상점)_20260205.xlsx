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CE61250C-15EB-444F-9F9D-C327E35B4D1F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0" r:id="rId1"/>
    <sheet name="1월_세금계산서" sheetId="11" r:id="rId2"/>
    <sheet name="컨텐츠별 매출 통계" sheetId="8" r:id="rId3"/>
    <sheet name="로그인정보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7" i="10"/>
  <c r="J8" i="10"/>
  <c r="J9" i="10"/>
  <c r="J10" i="10"/>
  <c r="J11" i="10"/>
  <c r="J12" i="10"/>
  <c r="J13" i="10"/>
  <c r="J14" i="10"/>
  <c r="J21" i="10"/>
  <c r="J22" i="10"/>
  <c r="J23" i="10"/>
  <c r="J24" i="10"/>
  <c r="J25" i="10"/>
  <c r="J26" i="10"/>
  <c r="I30" i="10"/>
  <c r="H30" i="10"/>
  <c r="G30" i="10"/>
  <c r="G32" i="10" s="1"/>
  <c r="F30" i="10"/>
  <c r="E30" i="10"/>
  <c r="D30" i="10"/>
  <c r="C30" i="10"/>
  <c r="B30" i="10"/>
  <c r="B32" i="10" s="1"/>
  <c r="H27" i="11" l="1"/>
  <c r="I27" i="11"/>
  <c r="J27" i="11"/>
  <c r="CR7" i="8"/>
  <c r="BZ7" i="8" l="1"/>
  <c r="BY7" i="8"/>
  <c r="BX7" i="8"/>
  <c r="BW7" i="8"/>
  <c r="BV7" i="8"/>
  <c r="BU7" i="8"/>
  <c r="BT7" i="8"/>
  <c r="D32" i="10" l="1"/>
  <c r="CA7" i="8"/>
  <c r="CG7" i="8"/>
  <c r="CO7" i="8"/>
  <c r="CC7" i="8" l="1"/>
  <c r="CD7" i="8" l="1"/>
  <c r="E32" i="10"/>
  <c r="CI7" i="8"/>
  <c r="CK7" i="8"/>
  <c r="CN7" i="8"/>
  <c r="F32" i="10" s="1"/>
  <c r="CV7" i="8" l="1"/>
  <c r="CP7" i="8"/>
  <c r="H32" i="10" s="1"/>
</calcChain>
</file>

<file path=xl/sharedStrings.xml><?xml version="1.0" encoding="utf-8"?>
<sst xmlns="http://schemas.openxmlformats.org/spreadsheetml/2006/main" count="186" uniqueCount="113">
  <si>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</si>
  <si>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</si>
  <si>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</si>
  <si>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</si>
  <si>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</si>
  <si>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</si>
  <si>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</si>
  <si>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</si>
  <si>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</si>
  <si>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</si>
  <si>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</si>
  <si>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</si>
  <si>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</si>
  <si>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</si>
  <si>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</si>
  <si>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</si>
  <si>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</si>
  <si>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</si>
  <si>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</si>
  <si>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</si>
  <si>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</si>
  <si>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</si>
  <si>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</si>
  <si>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</si>
  <si>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</si>
  <si>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</si>
  <si>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</si>
  <si>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</si>
  <si>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</si>
  <si>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</si>
  <si>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</si>
  <si>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</si>
  <si>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</si>
  <si>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</si>
  <si>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</si>
  <si>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</si>
  <si>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</si>
  <si>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</si>
  <si>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</si>
  <si>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</si>
  <si>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</si>
  <si>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</si>
  <si>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</si>
  <si>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</si>
  <si>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</si>
  <si>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</si>
  <si>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</si>
  <si>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</si>
  <si>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</si>
  <si>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</si>
  <si>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</si>
  <si>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</si>
  <si>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</si>
  <si>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</si>
  <si>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</si>
  <si>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</si>
  <si>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</si>
  <si>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</si>
  <si>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</si>
  <si>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</si>
  <si>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</si>
  <si>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</si>
  <si>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</si>
  <si>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</si>
  <si>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</si>
  <si>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</si>
  <si>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</si>
  <si>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</si>
  <si>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</si>
  <si>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</si>
  <si>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</si>
  <si>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</si>
  <si>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</si>
  <si>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</si>
  <si>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</si>
  <si>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</si>
  <si>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무상이용권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</si>
  <si>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</si>
  <si>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</si>
  <si>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</si>
  <si>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</si>
  <si>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</si>
  <si>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</si>
  <si>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</si>
  <si>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</si>
  <si>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</si>
  <si>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</si>
  <si>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</si>
  <si>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</si>
  <si>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이섭의 연애</t>
  </si>
  <si>
    <t>다중_이섭의연애</t>
  </si>
  <si>
    <t>248/김언희</t>
  </si>
  <si>
    <t>15세 이상 이용가능</t>
  </si>
  <si>
    <t>이섭의연애</t>
    <phoneticPr fontId="18" type="noConversion"/>
  </si>
  <si>
    <t>전략기획팀</t>
  </si>
  <si>
    <t>이섭의연애</t>
  </si>
  <si>
    <t>fra18633</t>
  </si>
  <si>
    <t>마일리지</t>
  </si>
  <si>
    <t>유상이용권</t>
  </si>
  <si>
    <t>유상이용권-IAB(Npay)</t>
  </si>
  <si>
    <t>다중상점 계약 작품으로 네이버에서 메일로 정산내역서 수신 &gt; 내역 확인 후 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</si>
  <si>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</si>
  <si>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</si>
  <si>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</si>
  <si>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WJSFIR26!!!</t>
  </si>
  <si>
    <t>유상이용권-원스토어</t>
  </si>
  <si>
    <t>2026.01.26</t>
  </si>
  <si>
    <t>2026-01</t>
    <phoneticPr fontId="18" type="noConversion"/>
  </si>
  <si>
    <t>유상이용권-IAP</t>
  </si>
  <si>
    <t>유상이용권-IAB</t>
  </si>
  <si>
    <t>유상이용권-리딤쿠키</t>
  </si>
  <si>
    <t>유상보정</t>
  </si>
  <si>
    <t>- 2025년 7월 [네이버웹툰 파트너십 프로그램]이 시작되어,  '무상 쿠키' 매출로 포함됩니다.(무상이용권 결제수수료율 상이)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</si>
</sst>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2"/>
      <color rgb="FF222222"/>
      <name val="Arial"/>
      <family val="2"/>
    </font>
    <font>
      <sz val="8"/>
      <color rgb="FFFF000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color theme="1"/>
      <name val="Arial Unicode MS"/>
      <family val="2"/>
    </font>
    <font>
      <sz val="8"/>
      <color rgb="FFFF0000"/>
      <name val="Arial Unicode MS"/>
      <family val="2"/>
    </font>
    <font>
      <sz val="8"/>
      <color rgb="FFFF0000"/>
      <name val="나눔고딕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19" fillId="0" borderId="0" xfId="1" applyFont="1" applyFill="1" applyAlignment="1">
      <alignment horizontal="center" vertical="center"/>
    </xf>
    <xf numFmtId="49" fontId="19" fillId="0" borderId="0" xfId="1" applyNumberFormat="1" applyFont="1" applyFill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41" fontId="29" fillId="0" borderId="0" xfId="1" applyFont="1" applyAlignment="1">
      <alignment vertical="center" wrapText="1"/>
    </xf>
    <xf numFmtId="41" fontId="28" fillId="36" borderId="0" xfId="1" applyFont="1" applyFill="1" applyAlignment="1">
      <alignment vertical="center" wrapText="1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29" fillId="43" borderId="0" xfId="1" applyFont="1" applyFill="1" applyAlignment="1">
      <alignment vertical="center" wrapText="1"/>
    </xf>
    <xf numFmtId="41" fontId="28" fillId="43" borderId="0" xfId="1" applyFont="1" applyFill="1" applyAlignment="1">
      <alignment vertical="center" wrapText="1"/>
    </xf>
    <xf numFmtId="41" fontId="19" fillId="0" borderId="0" xfId="0" applyNumberFormat="1" applyFont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3" fillId="0" borderId="11" xfId="45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41" fontId="35" fillId="0" borderId="0" xfId="1" applyFont="1" applyAlignment="1">
      <alignment vertical="center"/>
    </xf>
    <xf numFmtId="41" fontId="25" fillId="0" borderId="0" xfId="1" applyFont="1" applyFill="1" applyAlignment="1">
      <alignment vertical="center"/>
    </xf>
    <xf numFmtId="41" fontId="32" fillId="0" borderId="0" xfId="1" applyFont="1" applyAlignment="1">
      <alignment horizontal="center" vertical="center"/>
    </xf>
    <xf numFmtId="41" fontId="34" fillId="0" borderId="0" xfId="1" applyFont="1" applyAlignment="1">
      <alignment horizontal="center" vertical="center"/>
    </xf>
    <xf numFmtId="41" fontId="35" fillId="0" borderId="0" xfId="1" applyFont="1" applyFill="1" applyAlignment="1">
      <alignment vertical="center"/>
    </xf>
    <xf numFmtId="3" fontId="36" fillId="0" borderId="0" xfId="0" applyNumberFormat="1" applyFont="1">
      <alignment vertical="center"/>
    </xf>
    <xf numFmtId="41" fontId="38" fillId="0" borderId="0" xfId="1" applyFont="1" applyFill="1" applyAlignment="1">
      <alignment vertical="center"/>
    </xf>
    <xf numFmtId="41" fontId="37" fillId="0" borderId="0" xfId="1" applyFont="1" applyFill="1" applyAlignment="1">
      <alignment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19" fillId="0" borderId="0" xfId="1" applyFont="1" applyFill="1" applyBorder="1" applyAlignment="1">
      <alignment vertical="center"/>
    </xf>
    <xf numFmtId="176" fontId="19" fillId="0" borderId="0" xfId="1" applyNumberFormat="1" applyFont="1" applyFill="1" applyAlignment="1">
      <alignment vertical="center"/>
    </xf>
    <xf numFmtId="0" fontId="30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49" fontId="19" fillId="0" borderId="0" xfId="0" applyNumberFormat="1" applyFont="1">
      <alignment vertical="center"/>
    </xf>
    <xf numFmtId="3" fontId="19" fillId="0" borderId="0" xfId="0" applyNumberFormat="1" applyFont="1">
      <alignment vertical="center"/>
    </xf>
    <xf numFmtId="4" fontId="19" fillId="0" borderId="0" xfId="0" applyNumberFormat="1" applyFont="1">
      <alignment vertical="center"/>
    </xf>
    <xf numFmtId="4" fontId="37" fillId="0" borderId="0" xfId="0" applyNumberFormat="1" applyFont="1">
      <alignment vertical="center"/>
    </xf>
    <xf numFmtId="0" fontId="39" fillId="0" borderId="0" xfId="0" applyFont="1" applyAlignment="1">
      <alignment horizontal="left" vertical="center"/>
    </xf>
    <xf numFmtId="49" fontId="39" fillId="0" borderId="0" xfId="0" applyNumberFormat="1" applyFont="1">
      <alignment vertical="center"/>
    </xf>
    <xf numFmtId="0" fontId="39" fillId="0" borderId="0" xfId="0" applyFont="1">
      <alignment vertical="center"/>
    </xf>
    <xf numFmtId="3" fontId="39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4" fontId="40" fillId="0" borderId="0" xfId="0" applyNumberFormat="1" applyFont="1">
      <alignment vertical="center"/>
    </xf>
    <xf numFmtId="41" fontId="19" fillId="0" borderId="0" xfId="1" applyFont="1" applyAlignment="1">
      <alignment vertical="center"/>
    </xf>
    <xf numFmtId="41" fontId="19" fillId="0" borderId="0" xfId="0" applyNumberFormat="1" applyFont="1">
      <alignment vertical="center"/>
    </xf>
    <xf numFmtId="0" fontId="19" fillId="0" borderId="0" xfId="0" applyFont="1" applyAlignment="1">
      <alignment horizontal="left" vertical="center" wrapText="1"/>
    </xf>
    <xf numFmtId="49" fontId="19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  <xf numFmtId="4" fontId="19" fillId="0" borderId="0" xfId="0" applyNumberFormat="1" applyFont="1" applyAlignment="1">
      <alignment vertical="center" wrapText="1"/>
    </xf>
    <xf numFmtId="4" fontId="37" fillId="0" borderId="0" xfId="0" applyNumberFormat="1" applyFont="1" applyAlignment="1">
      <alignment vertical="center" wrapText="1"/>
    </xf>
    <xf numFmtId="0" fontId="26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9" fontId="0" fillId="0" borderId="0" xfId="2" applyFont="1">
      <alignment vertical="center"/>
    </xf>
    <xf numFmtId="9" fontId="37" fillId="0" borderId="0" xfId="0" applyNumberFormat="1" applyFont="1">
      <alignment vertical="center"/>
    </xf>
    <xf numFmtId="0" fontId="41" fillId="0" borderId="0" xfId="0" quotePrefix="1" applyFo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342046</xdr:colOff>
      <xdr:row>22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A4F43AB-29F8-7B51-8C2D-3D5863D47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19184" cy="489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70E8-4D2E-4574-9A61-09B8C2735298}">
  <sheetPr>
    <tabColor theme="0" tint="-0.249977111117893"/>
  </sheetPr>
  <dimension ref="A1:M51"/>
  <sheetViews>
    <sheetView showGridLines="0" tabSelected="1" zoomScale="90" zoomScaleNormal="90" workbookViewId="0">
      <selection activeCell="F30" sqref="F30"/>
    </sheetView>
  </sheetViews>
  <sheetFormatPr defaultRowHeight="16.899999999999999"/>
  <cols>
    <col min="1" max="1" width="23.75" bestFit="1" customWidth="1"/>
    <col min="2" max="2" width="12.875" style="14" bestFit="1" customWidth="1"/>
    <col min="3" max="3" width="11.5" style="14" bestFit="1" customWidth="1"/>
    <col min="4" max="4" width="11.875" style="14" bestFit="1" customWidth="1"/>
    <col min="5" max="5" width="12.875" style="14" bestFit="1" customWidth="1"/>
    <col min="6" max="7" width="12.625" style="14" bestFit="1" customWidth="1"/>
    <col min="8" max="8" width="11.875" style="14" bestFit="1" customWidth="1"/>
    <col min="9" max="9" width="16.125" style="14" bestFit="1" customWidth="1"/>
    <col min="10" max="10" width="5.0625" bestFit="1" customWidth="1"/>
  </cols>
  <sheetData>
    <row r="1" spans="1:13">
      <c r="A1" s="9" t="s">
        <v>100</v>
      </c>
    </row>
    <row r="3" spans="1:13" ht="16.5" customHeight="1">
      <c r="A3" s="19" t="s">
        <v>67</v>
      </c>
      <c r="B3" s="20" t="s">
        <v>68</v>
      </c>
      <c r="C3" s="20" t="s">
        <v>69</v>
      </c>
      <c r="D3" s="20" t="s">
        <v>70</v>
      </c>
      <c r="E3" s="20" t="s">
        <v>71</v>
      </c>
      <c r="F3" s="27" t="s">
        <v>72</v>
      </c>
      <c r="G3" s="27" t="s">
        <v>73</v>
      </c>
      <c r="H3" s="27" t="s">
        <v>74</v>
      </c>
      <c r="I3" s="20" t="s">
        <v>75</v>
      </c>
      <c r="K3" s="14"/>
      <c r="L3" s="43"/>
    </row>
    <row r="4" spans="1:13">
      <c r="A4" s="11" t="s">
        <v>37</v>
      </c>
      <c r="B4" s="15">
        <v>0</v>
      </c>
      <c r="C4" s="15">
        <v>0</v>
      </c>
      <c r="D4" s="15">
        <v>0</v>
      </c>
      <c r="E4" s="15">
        <v>0</v>
      </c>
      <c r="F4" s="28">
        <v>0</v>
      </c>
      <c r="G4" s="28">
        <v>0</v>
      </c>
      <c r="H4" s="28">
        <v>0</v>
      </c>
      <c r="I4" s="15">
        <v>0</v>
      </c>
      <c r="J4" s="95"/>
      <c r="K4" s="14"/>
      <c r="L4" s="43"/>
    </row>
    <row r="5" spans="1:13">
      <c r="A5" s="11" t="s">
        <v>38</v>
      </c>
      <c r="B5" s="15">
        <v>0</v>
      </c>
      <c r="C5" s="15">
        <v>0</v>
      </c>
      <c r="D5" s="15">
        <v>0</v>
      </c>
      <c r="E5" s="15">
        <v>0</v>
      </c>
      <c r="F5" s="28">
        <v>0</v>
      </c>
      <c r="G5" s="28">
        <v>0</v>
      </c>
      <c r="H5" s="28">
        <v>0</v>
      </c>
      <c r="I5" s="15">
        <v>0</v>
      </c>
      <c r="J5" s="95"/>
      <c r="K5" s="14"/>
      <c r="L5" s="14"/>
      <c r="M5" s="14"/>
    </row>
    <row r="6" spans="1:13">
      <c r="A6" s="11" t="s">
        <v>97</v>
      </c>
      <c r="B6" s="15">
        <v>0</v>
      </c>
      <c r="C6" s="15">
        <v>0</v>
      </c>
      <c r="D6" s="15">
        <v>0</v>
      </c>
      <c r="E6" s="15">
        <v>0</v>
      </c>
      <c r="F6" s="28">
        <v>0</v>
      </c>
      <c r="G6" s="28">
        <v>0</v>
      </c>
      <c r="H6" s="28">
        <v>0</v>
      </c>
      <c r="I6" s="15">
        <v>0</v>
      </c>
      <c r="J6" s="95"/>
      <c r="K6" s="14"/>
      <c r="L6" s="14"/>
      <c r="M6" s="14"/>
    </row>
    <row r="7" spans="1:13">
      <c r="A7" s="11" t="s">
        <v>98</v>
      </c>
      <c r="B7" s="15">
        <v>18264048</v>
      </c>
      <c r="C7" s="15">
        <v>0</v>
      </c>
      <c r="D7" s="15">
        <v>1826405</v>
      </c>
      <c r="E7" s="15">
        <v>16437643</v>
      </c>
      <c r="F7" s="28">
        <v>8218822</v>
      </c>
      <c r="G7" s="28">
        <v>0</v>
      </c>
      <c r="H7" s="28">
        <v>8218822</v>
      </c>
      <c r="I7" s="15">
        <v>7396939</v>
      </c>
      <c r="J7" s="95">
        <f t="shared" ref="J5:J26" si="0">D7/B7</f>
        <v>0.10000001095047495</v>
      </c>
      <c r="K7" s="14"/>
      <c r="L7" s="14"/>
      <c r="M7" s="14"/>
    </row>
    <row r="8" spans="1:13" ht="16.899999999999999" customHeight="1">
      <c r="A8" s="11" t="s">
        <v>108</v>
      </c>
      <c r="B8" s="15">
        <v>12979922</v>
      </c>
      <c r="C8" s="15">
        <v>0</v>
      </c>
      <c r="D8" s="15">
        <v>3893977</v>
      </c>
      <c r="E8" s="15">
        <v>9085945</v>
      </c>
      <c r="F8" s="28">
        <v>4542973</v>
      </c>
      <c r="G8" s="28">
        <v>0</v>
      </c>
      <c r="H8" s="28">
        <v>4542973</v>
      </c>
      <c r="I8" s="15">
        <v>4088675</v>
      </c>
      <c r="J8" s="95">
        <f t="shared" si="0"/>
        <v>0.30000003081682619</v>
      </c>
      <c r="K8" s="14"/>
      <c r="L8" s="14"/>
      <c r="M8" s="14"/>
    </row>
    <row r="9" spans="1:13" ht="16.899999999999999" customHeight="1">
      <c r="A9" s="11" t="s">
        <v>109</v>
      </c>
      <c r="B9" s="15">
        <v>5793885</v>
      </c>
      <c r="C9" s="15">
        <v>0</v>
      </c>
      <c r="D9" s="15">
        <v>579388</v>
      </c>
      <c r="E9" s="15">
        <v>5214497</v>
      </c>
      <c r="F9" s="28">
        <v>2607248</v>
      </c>
      <c r="G9" s="28">
        <v>0</v>
      </c>
      <c r="H9" s="28">
        <v>2607248</v>
      </c>
      <c r="I9" s="15">
        <v>2346524</v>
      </c>
      <c r="J9" s="95">
        <f t="shared" si="0"/>
        <v>9.9999913702118692E-2</v>
      </c>
      <c r="K9" s="14"/>
      <c r="L9" s="14"/>
      <c r="M9" s="14"/>
    </row>
    <row r="10" spans="1:13" ht="16.899999999999999" customHeight="1">
      <c r="A10" s="11" t="s">
        <v>99</v>
      </c>
      <c r="B10" s="15">
        <v>14998680</v>
      </c>
      <c r="C10" s="15">
        <v>0</v>
      </c>
      <c r="D10" s="15">
        <v>1499868</v>
      </c>
      <c r="E10" s="15">
        <v>13498812</v>
      </c>
      <c r="F10" s="28">
        <v>6749406</v>
      </c>
      <c r="G10" s="28">
        <v>0</v>
      </c>
      <c r="H10" s="28">
        <v>6749406</v>
      </c>
      <c r="I10" s="15">
        <v>6074465</v>
      </c>
      <c r="J10" s="95">
        <f t="shared" si="0"/>
        <v>0.1</v>
      </c>
      <c r="K10" s="14"/>
      <c r="L10" s="14"/>
      <c r="M10" s="14"/>
    </row>
    <row r="11" spans="1:13" ht="16.899999999999999" customHeight="1">
      <c r="A11" s="11" t="s">
        <v>105</v>
      </c>
      <c r="B11" s="15">
        <v>1245240</v>
      </c>
      <c r="C11" s="15">
        <v>0</v>
      </c>
      <c r="D11" s="15">
        <v>124524</v>
      </c>
      <c r="E11" s="15">
        <v>1120716</v>
      </c>
      <c r="F11" s="28">
        <v>560358</v>
      </c>
      <c r="G11" s="28">
        <v>0</v>
      </c>
      <c r="H11" s="28">
        <v>560358</v>
      </c>
      <c r="I11" s="15">
        <v>504322</v>
      </c>
      <c r="J11" s="95">
        <f t="shared" si="0"/>
        <v>0.1</v>
      </c>
      <c r="K11" s="14"/>
      <c r="L11" s="14"/>
      <c r="M11" s="14"/>
    </row>
    <row r="12" spans="1:13" ht="16.899999999999999" customHeight="1">
      <c r="A12" s="11" t="s">
        <v>110</v>
      </c>
      <c r="B12" s="15">
        <v>252100</v>
      </c>
      <c r="C12" s="15">
        <v>0</v>
      </c>
      <c r="D12" s="15">
        <v>37815</v>
      </c>
      <c r="E12" s="15">
        <v>214285</v>
      </c>
      <c r="F12" s="28">
        <v>107143</v>
      </c>
      <c r="G12" s="28">
        <v>0</v>
      </c>
      <c r="H12" s="28">
        <v>107143</v>
      </c>
      <c r="I12" s="15">
        <v>96428</v>
      </c>
      <c r="J12" s="95">
        <f t="shared" si="0"/>
        <v>0.15</v>
      </c>
      <c r="K12" s="14"/>
      <c r="L12" s="14"/>
      <c r="M12" s="14"/>
    </row>
    <row r="13" spans="1:13">
      <c r="A13" s="11" t="s">
        <v>76</v>
      </c>
      <c r="B13" s="15">
        <v>26899815</v>
      </c>
      <c r="C13" s="15">
        <v>0</v>
      </c>
      <c r="D13" s="15">
        <v>2106210</v>
      </c>
      <c r="E13" s="15">
        <v>24793605</v>
      </c>
      <c r="F13" s="28">
        <v>12396803</v>
      </c>
      <c r="G13" s="28">
        <v>0</v>
      </c>
      <c r="H13" s="28">
        <v>12396803</v>
      </c>
      <c r="I13" s="15">
        <v>11157121</v>
      </c>
      <c r="J13" s="95">
        <f t="shared" si="0"/>
        <v>7.8298307999515981E-2</v>
      </c>
      <c r="K13" s="14"/>
      <c r="L13" s="14"/>
      <c r="M13" s="14"/>
    </row>
    <row r="14" spans="1:13">
      <c r="A14" s="11" t="s">
        <v>111</v>
      </c>
      <c r="B14" s="15">
        <v>192</v>
      </c>
      <c r="C14" s="15">
        <v>0</v>
      </c>
      <c r="D14" s="15">
        <v>19</v>
      </c>
      <c r="E14" s="15">
        <v>173</v>
      </c>
      <c r="F14" s="28">
        <v>86</v>
      </c>
      <c r="G14" s="28">
        <v>0</v>
      </c>
      <c r="H14" s="28">
        <v>86</v>
      </c>
      <c r="I14" s="15">
        <v>78</v>
      </c>
      <c r="J14" s="95">
        <f t="shared" si="0"/>
        <v>9.8958333333333329E-2</v>
      </c>
      <c r="K14" s="14"/>
      <c r="L14" s="14"/>
      <c r="M14" s="14"/>
    </row>
    <row r="15" spans="1:13">
      <c r="A15" s="13" t="s">
        <v>27</v>
      </c>
      <c r="B15" s="16">
        <v>80433882</v>
      </c>
      <c r="C15" s="16">
        <v>0</v>
      </c>
      <c r="D15" s="16">
        <v>10068206</v>
      </c>
      <c r="E15" s="16">
        <v>70365676</v>
      </c>
      <c r="F15" s="29">
        <v>35182839</v>
      </c>
      <c r="G15" s="29">
        <v>0</v>
      </c>
      <c r="H15" s="29">
        <v>35182839</v>
      </c>
      <c r="I15" s="16">
        <v>31664552</v>
      </c>
      <c r="J15" s="95"/>
      <c r="K15" s="14"/>
      <c r="L15" s="14"/>
      <c r="M15" s="14"/>
    </row>
    <row r="16" spans="1:13">
      <c r="F16" s="30"/>
      <c r="G16" s="30"/>
      <c r="H16" s="30"/>
      <c r="J16" s="95"/>
      <c r="K16" s="14"/>
      <c r="L16" s="14"/>
      <c r="M16" s="14"/>
    </row>
    <row r="17" spans="1:13">
      <c r="A17" s="21" t="s">
        <v>67</v>
      </c>
      <c r="B17" s="22" t="s">
        <v>68</v>
      </c>
      <c r="C17" s="22" t="s">
        <v>69</v>
      </c>
      <c r="D17" s="22" t="s">
        <v>70</v>
      </c>
      <c r="E17" s="22" t="s">
        <v>71</v>
      </c>
      <c r="F17" s="31" t="s">
        <v>72</v>
      </c>
      <c r="G17" s="31" t="s">
        <v>73</v>
      </c>
      <c r="H17" s="31" t="s">
        <v>74</v>
      </c>
      <c r="I17" s="22" t="s">
        <v>75</v>
      </c>
      <c r="J17" s="95"/>
      <c r="K17" s="14"/>
      <c r="L17" s="14"/>
      <c r="M17" s="14"/>
    </row>
    <row r="18" spans="1:13">
      <c r="A18" s="10" t="s">
        <v>37</v>
      </c>
      <c r="B18" s="17">
        <v>0</v>
      </c>
      <c r="C18" s="17">
        <v>0</v>
      </c>
      <c r="D18" s="17">
        <v>0</v>
      </c>
      <c r="E18" s="17">
        <v>0</v>
      </c>
      <c r="F18" s="32">
        <v>0</v>
      </c>
      <c r="G18" s="32">
        <v>0</v>
      </c>
      <c r="H18" s="32">
        <v>0</v>
      </c>
      <c r="I18" s="17">
        <v>0</v>
      </c>
      <c r="J18" s="95"/>
      <c r="K18" s="14"/>
      <c r="L18" s="14"/>
      <c r="M18" s="14"/>
    </row>
    <row r="19" spans="1:13">
      <c r="A19" s="10" t="s">
        <v>38</v>
      </c>
      <c r="B19" s="17">
        <v>0</v>
      </c>
      <c r="C19" s="17">
        <v>0</v>
      </c>
      <c r="D19" s="17">
        <v>0</v>
      </c>
      <c r="E19" s="17">
        <v>0</v>
      </c>
      <c r="F19" s="32">
        <v>0</v>
      </c>
      <c r="G19" s="32">
        <v>0</v>
      </c>
      <c r="H19" s="32">
        <v>0</v>
      </c>
      <c r="I19" s="17">
        <v>0</v>
      </c>
      <c r="J19" s="95"/>
      <c r="K19" s="43"/>
      <c r="L19" s="14"/>
      <c r="M19" s="14"/>
    </row>
    <row r="20" spans="1:13">
      <c r="A20" s="10" t="s">
        <v>97</v>
      </c>
      <c r="B20" s="17">
        <v>0</v>
      </c>
      <c r="C20" s="17">
        <v>0</v>
      </c>
      <c r="D20" s="17">
        <v>0</v>
      </c>
      <c r="E20" s="17">
        <v>0</v>
      </c>
      <c r="F20" s="32">
        <v>0</v>
      </c>
      <c r="G20" s="32">
        <v>0</v>
      </c>
      <c r="H20" s="32">
        <v>0</v>
      </c>
      <c r="I20" s="17">
        <v>0</v>
      </c>
      <c r="J20" s="95"/>
      <c r="K20" s="43"/>
      <c r="L20" s="14"/>
      <c r="M20" s="14"/>
    </row>
    <row r="21" spans="1:13">
      <c r="A21" s="10" t="s">
        <v>98</v>
      </c>
      <c r="B21" s="17">
        <v>218000</v>
      </c>
      <c r="C21" s="17">
        <v>0</v>
      </c>
      <c r="D21" s="17">
        <v>21800</v>
      </c>
      <c r="E21" s="17">
        <v>196200</v>
      </c>
      <c r="F21" s="32">
        <v>98100</v>
      </c>
      <c r="G21" s="32">
        <v>0</v>
      </c>
      <c r="H21" s="32">
        <v>98100</v>
      </c>
      <c r="I21" s="17">
        <v>88290</v>
      </c>
      <c r="J21" s="95">
        <f t="shared" si="0"/>
        <v>0.1</v>
      </c>
      <c r="K21" s="43"/>
      <c r="L21" s="14"/>
      <c r="M21" s="14"/>
    </row>
    <row r="22" spans="1:13">
      <c r="A22" s="10" t="s">
        <v>108</v>
      </c>
      <c r="B22" s="17">
        <v>12195</v>
      </c>
      <c r="C22" s="17">
        <v>0</v>
      </c>
      <c r="D22" s="17">
        <v>3658</v>
      </c>
      <c r="E22" s="17">
        <v>8537</v>
      </c>
      <c r="F22" s="32">
        <v>4268</v>
      </c>
      <c r="G22" s="32">
        <v>0</v>
      </c>
      <c r="H22" s="32">
        <v>4268</v>
      </c>
      <c r="I22" s="17">
        <v>3842</v>
      </c>
      <c r="J22" s="95">
        <f t="shared" si="0"/>
        <v>0.29995899958999589</v>
      </c>
      <c r="K22" s="43"/>
      <c r="L22" s="14"/>
      <c r="M22" s="14"/>
    </row>
    <row r="23" spans="1:13">
      <c r="A23" s="10" t="s">
        <v>109</v>
      </c>
      <c r="B23" s="17">
        <v>9837</v>
      </c>
      <c r="C23" s="17">
        <v>0</v>
      </c>
      <c r="D23" s="17">
        <v>984</v>
      </c>
      <c r="E23" s="17">
        <v>8853</v>
      </c>
      <c r="F23" s="32">
        <v>4427</v>
      </c>
      <c r="G23" s="32">
        <v>0</v>
      </c>
      <c r="H23" s="32">
        <v>4427</v>
      </c>
      <c r="I23" s="17">
        <v>3983</v>
      </c>
      <c r="J23" s="95">
        <f t="shared" si="0"/>
        <v>0.10003049710277524</v>
      </c>
      <c r="K23" s="43"/>
      <c r="L23" s="14"/>
      <c r="M23" s="14"/>
    </row>
    <row r="24" spans="1:13">
      <c r="A24" s="10" t="s">
        <v>99</v>
      </c>
      <c r="B24" s="17">
        <v>29040</v>
      </c>
      <c r="C24" s="17">
        <v>0</v>
      </c>
      <c r="D24" s="17">
        <v>2904</v>
      </c>
      <c r="E24" s="17">
        <v>26136</v>
      </c>
      <c r="F24" s="32">
        <v>13068</v>
      </c>
      <c r="G24" s="32">
        <v>0</v>
      </c>
      <c r="H24" s="32">
        <v>13068</v>
      </c>
      <c r="I24" s="17">
        <v>11761</v>
      </c>
      <c r="J24" s="95">
        <f t="shared" si="0"/>
        <v>0.1</v>
      </c>
      <c r="K24" s="43"/>
      <c r="L24" s="14"/>
      <c r="M24" s="14"/>
    </row>
    <row r="25" spans="1:13">
      <c r="A25" s="10" t="s">
        <v>105</v>
      </c>
      <c r="B25" s="17">
        <v>3000</v>
      </c>
      <c r="C25" s="17">
        <v>0</v>
      </c>
      <c r="D25" s="17">
        <v>300</v>
      </c>
      <c r="E25" s="17">
        <v>2700</v>
      </c>
      <c r="F25" s="32">
        <v>1350</v>
      </c>
      <c r="G25" s="32">
        <v>0</v>
      </c>
      <c r="H25" s="32">
        <v>1350</v>
      </c>
      <c r="I25" s="17">
        <v>1215</v>
      </c>
      <c r="J25" s="95">
        <f t="shared" si="0"/>
        <v>0.1</v>
      </c>
      <c r="K25" s="43"/>
      <c r="L25" s="14"/>
      <c r="M25" s="14"/>
    </row>
    <row r="26" spans="1:13">
      <c r="A26" s="10" t="s">
        <v>76</v>
      </c>
      <c r="B26" s="17">
        <v>51275</v>
      </c>
      <c r="C26" s="17">
        <v>0</v>
      </c>
      <c r="D26" s="17">
        <v>3130</v>
      </c>
      <c r="E26" s="17">
        <v>48145</v>
      </c>
      <c r="F26" s="32">
        <v>24073</v>
      </c>
      <c r="G26" s="32">
        <v>0</v>
      </c>
      <c r="H26" s="32">
        <v>24073</v>
      </c>
      <c r="I26" s="17">
        <v>21664</v>
      </c>
      <c r="J26" s="95">
        <f t="shared" si="0"/>
        <v>6.1043393466601654E-2</v>
      </c>
      <c r="K26" s="43"/>
      <c r="L26" s="14"/>
      <c r="M26" s="14"/>
    </row>
    <row r="27" spans="1:13">
      <c r="A27" s="12" t="s">
        <v>27</v>
      </c>
      <c r="B27" s="18">
        <v>323347</v>
      </c>
      <c r="C27" s="18">
        <v>0</v>
      </c>
      <c r="D27" s="18">
        <v>32776</v>
      </c>
      <c r="E27" s="18">
        <v>290571</v>
      </c>
      <c r="F27" s="33">
        <v>145286</v>
      </c>
      <c r="G27" s="33">
        <v>0</v>
      </c>
      <c r="H27" s="33">
        <v>145286</v>
      </c>
      <c r="I27" s="18">
        <v>130755</v>
      </c>
      <c r="K27" s="43"/>
      <c r="L27" s="14"/>
      <c r="M27" s="14"/>
    </row>
    <row r="28" spans="1:13">
      <c r="F28" s="30"/>
      <c r="G28" s="30"/>
      <c r="H28" s="30"/>
      <c r="K28" s="43"/>
      <c r="L28" s="14"/>
      <c r="M28" s="14"/>
    </row>
    <row r="29" spans="1:13">
      <c r="F29" s="30"/>
      <c r="G29" s="30"/>
      <c r="H29" s="30"/>
      <c r="K29" s="43"/>
      <c r="L29" s="14"/>
      <c r="M29" s="14"/>
    </row>
    <row r="30" spans="1:13">
      <c r="A30" s="23" t="s">
        <v>77</v>
      </c>
      <c r="B30" s="24">
        <f t="shared" ref="B30:I30" si="1">B15+B27</f>
        <v>80757229</v>
      </c>
      <c r="C30" s="24">
        <f t="shared" si="1"/>
        <v>0</v>
      </c>
      <c r="D30" s="24">
        <f t="shared" si="1"/>
        <v>10100982</v>
      </c>
      <c r="E30" s="24">
        <f t="shared" si="1"/>
        <v>70656247</v>
      </c>
      <c r="F30" s="29">
        <f t="shared" si="1"/>
        <v>35328125</v>
      </c>
      <c r="G30" s="29">
        <f t="shared" si="1"/>
        <v>0</v>
      </c>
      <c r="H30" s="29">
        <f t="shared" si="1"/>
        <v>35328125</v>
      </c>
      <c r="I30" s="24">
        <f t="shared" si="1"/>
        <v>31795307</v>
      </c>
      <c r="K30" s="43"/>
      <c r="L30" s="14"/>
      <c r="M30" s="14"/>
    </row>
    <row r="31" spans="1:13">
      <c r="K31" s="43"/>
      <c r="L31" s="14"/>
      <c r="M31" s="14"/>
    </row>
    <row r="32" spans="1:13">
      <c r="B32" s="26" t="b">
        <f>B30='컨텐츠별 매출 통계'!CA7</f>
        <v>1</v>
      </c>
      <c r="C32" s="26"/>
      <c r="D32" s="26" t="b">
        <f>D30='컨텐츠별 매출 통계'!CB7</f>
        <v>1</v>
      </c>
      <c r="E32" s="26" t="b">
        <f>E30='컨텐츠별 매출 통계'!CC7</f>
        <v>1</v>
      </c>
      <c r="F32" s="26" t="b">
        <f>F30='컨텐츠별 매출 통계'!CN7</f>
        <v>1</v>
      </c>
      <c r="G32" s="26" t="b">
        <f>G30='컨텐츠별 매출 통계'!CO7</f>
        <v>1</v>
      </c>
      <c r="H32" s="26" t="b">
        <f>H30='컨텐츠별 매출 통계'!CP7</f>
        <v>1</v>
      </c>
      <c r="I32" s="26"/>
      <c r="K32" s="43"/>
      <c r="L32" s="14"/>
      <c r="M32" s="14"/>
    </row>
    <row r="33" spans="1:13">
      <c r="A33" s="14"/>
      <c r="K33" s="43"/>
      <c r="L33" s="14"/>
      <c r="M33" s="14"/>
    </row>
    <row r="34" spans="1:13">
      <c r="A34" s="14"/>
      <c r="J34" s="14"/>
      <c r="K34" s="43"/>
      <c r="L34" s="14"/>
      <c r="M34" s="14"/>
    </row>
    <row r="35" spans="1:13">
      <c r="A35" s="14"/>
      <c r="J35" s="14"/>
      <c r="K35" s="14"/>
      <c r="L35" s="14"/>
    </row>
    <row r="36" spans="1:13">
      <c r="A36" s="14"/>
      <c r="J36" s="14"/>
      <c r="K36" s="14"/>
      <c r="L36" s="14"/>
    </row>
    <row r="37" spans="1:13">
      <c r="A37" s="14"/>
      <c r="J37" s="14"/>
      <c r="K37" s="14"/>
      <c r="L37" s="14"/>
    </row>
    <row r="38" spans="1:13">
      <c r="A38" s="14"/>
      <c r="J38" s="14"/>
      <c r="K38" s="14"/>
      <c r="L38" s="14"/>
    </row>
    <row r="39" spans="1:13">
      <c r="A39" s="14"/>
      <c r="J39" s="14"/>
      <c r="K39" s="14"/>
      <c r="L39" s="14"/>
    </row>
    <row r="40" spans="1:13">
      <c r="A40" s="14"/>
      <c r="J40" s="14"/>
      <c r="K40" s="14"/>
      <c r="L40" s="14"/>
    </row>
    <row r="41" spans="1:1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14"/>
      <c r="L41" s="14"/>
    </row>
    <row r="42" spans="1:1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14"/>
    </row>
    <row r="43" spans="1:13">
      <c r="A43" s="43"/>
      <c r="B43" s="43"/>
      <c r="C43" s="43"/>
      <c r="D43" s="43"/>
      <c r="E43" s="43"/>
      <c r="F43" s="43"/>
      <c r="G43" s="43"/>
      <c r="H43" s="43"/>
      <c r="I43" s="43"/>
      <c r="J43" s="43"/>
    </row>
    <row r="44" spans="1:13">
      <c r="A44" s="14"/>
    </row>
    <row r="45" spans="1:13">
      <c r="A45" s="14"/>
    </row>
    <row r="46" spans="1:13">
      <c r="A46" s="14"/>
    </row>
    <row r="47" spans="1:13">
      <c r="A47" s="14"/>
    </row>
    <row r="48" spans="1:13">
      <c r="A48" s="14"/>
    </row>
    <row r="49" spans="2:3">
      <c r="B49"/>
      <c r="C49"/>
    </row>
    <row r="50" spans="2:3">
      <c r="B50"/>
      <c r="C50"/>
    </row>
    <row r="51" spans="2:3">
      <c r="B51"/>
      <c r="C5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49E4-C662-4B97-9504-332E1EB56260}">
  <sheetPr>
    <tabColor theme="0" tint="-0.249977111117893"/>
  </sheetPr>
  <dimension ref="H25:J27"/>
  <sheetViews>
    <sheetView showGridLines="0" workbookViewId="0">
      <selection activeCell="S18" sqref="S18"/>
    </sheetView>
  </sheetViews>
  <sheetFormatPr defaultRowHeight="16.899999999999999"/>
  <cols>
    <col min="8" max="8" width="9.25" bestFit="1" customWidth="1"/>
    <col min="10" max="10" width="9.25" bestFit="1" customWidth="1"/>
  </cols>
  <sheetData>
    <row r="25" spans="8:10">
      <c r="H25" s="40" t="s">
        <v>101</v>
      </c>
      <c r="I25" s="40" t="s">
        <v>102</v>
      </c>
      <c r="J25" s="40" t="s">
        <v>103</v>
      </c>
    </row>
    <row r="26" spans="8:10">
      <c r="H26" s="41">
        <v>35328125</v>
      </c>
      <c r="I26" s="41">
        <v>0</v>
      </c>
      <c r="J26" s="41">
        <v>35328125</v>
      </c>
    </row>
    <row r="27" spans="8:10">
      <c r="H27" s="41" t="b">
        <f>H26='1월_정산내역서'!F30</f>
        <v>1</v>
      </c>
      <c r="I27" s="41" t="b">
        <f>I26='1월_정산내역서'!G30</f>
        <v>1</v>
      </c>
      <c r="J27" s="41" t="b">
        <f>J26='1월_정산내역서'!H30</f>
        <v>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W23"/>
  <sheetViews>
    <sheetView showGridLines="0" zoomScale="90" zoomScaleNormal="90" workbookViewId="0">
      <pane ySplit="6" topLeftCell="A7" activePane="bottomLeft" state="frozen"/>
      <selection pane="bottomLeft" activeCell="BW26" sqref="BW26"/>
    </sheetView>
  </sheetViews>
  <sheetFormatPr defaultRowHeight="16.899999999999999" outlineLevelCol="1"/>
  <cols>
    <col min="1" max="1" width="16.375" style="1" customWidth="1"/>
    <col min="2" max="2" width="8.25" style="1" bestFit="1" customWidth="1"/>
    <col min="3" max="3" width="0" style="1" hidden="1" customWidth="1" outlineLevel="1"/>
    <col min="4" max="4" width="16.25" style="1" hidden="1" customWidth="1" outlineLevel="1"/>
    <col min="5" max="5" width="6.125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3.625" style="3" hidden="1" customWidth="1" outlineLevel="1"/>
    <col min="10" max="10" width="6.375" style="3" hidden="1" customWidth="1" outlineLevel="1"/>
    <col min="11" max="11" width="8.875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75" style="3" hidden="1" customWidth="1" outlineLevel="1"/>
    <col min="18" max="18" width="3.625" style="3" hidden="1" customWidth="1" outlineLevel="1"/>
    <col min="19" max="19" width="5" style="3" hidden="1" customWidth="1" outlineLevel="1"/>
    <col min="20" max="20" width="8.875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75" style="3" hidden="1" customWidth="1" outlineLevel="1"/>
    <col min="27" max="27" width="6.875" style="3" hidden="1" customWidth="1" outlineLevel="1"/>
    <col min="28" max="29" width="8.875" style="3" hidden="1" customWidth="1" outlineLevel="1"/>
    <col min="30" max="30" width="6.125" style="3" hidden="1" customWidth="1" outlineLevel="1"/>
    <col min="31" max="32" width="8" style="3" hidden="1" customWidth="1" outlineLevel="1"/>
    <col min="33" max="33" width="6.875" style="3" hidden="1" customWidth="1" outlineLevel="1"/>
    <col min="34" max="35" width="8.875" style="3" hidden="1" customWidth="1" outlineLevel="1"/>
    <col min="36" max="36" width="5.25" style="3" hidden="1" customWidth="1" outlineLevel="1"/>
    <col min="37" max="38" width="8" style="3" hidden="1" customWidth="1" outlineLevel="1"/>
    <col min="39" max="39" width="6.125" style="3" hidden="1" customWidth="1" outlineLevel="1"/>
    <col min="40" max="40" width="8" style="3" hidden="1" customWidth="1" outlineLevel="1"/>
    <col min="41" max="41" width="6.875" style="3" hidden="1" customWidth="1" outlineLevel="1"/>
    <col min="42" max="42" width="5.25" style="3" hidden="1" customWidth="1" outlineLevel="1"/>
    <col min="43" max="43" width="6.875" style="3" hidden="1" customWidth="1" outlineLevel="1"/>
    <col min="44" max="45" width="6.125" style="3" hidden="1" customWidth="1" outlineLevel="1"/>
    <col min="46" max="46" width="8" style="3" hidden="1" customWidth="1" outlineLevel="1"/>
    <col min="47" max="47" width="6.875" style="3" hidden="1" customWidth="1" outlineLevel="1"/>
    <col min="48" max="48" width="5" style="3" hidden="1" customWidth="1" outlineLevel="1"/>
    <col min="49" max="49" width="6.875" style="3" hidden="1" customWidth="1" outlineLevel="1"/>
    <col min="50" max="50" width="5.25" style="3" hidden="1" customWidth="1" outlineLevel="1"/>
    <col min="51" max="51" width="6.125" style="3" hidden="1" customWidth="1" outlineLevel="1"/>
    <col min="52" max="52" width="8.875" style="3" hidden="1" customWidth="1" outlineLevel="1"/>
    <col min="53" max="53" width="6.875" style="3" hidden="1" customWidth="1" outlineLevel="1"/>
    <col min="54" max="54" width="5.25" style="3" hidden="1" customWidth="1" outlineLevel="1"/>
    <col min="55" max="55" width="8" style="3" hidden="1" customWidth="1" outlineLevel="1"/>
    <col min="56" max="56" width="6.125" style="3" hidden="1" customWidth="1" outlineLevel="1"/>
    <col min="57" max="57" width="5.25" style="3" hidden="1" customWidth="1" outlineLevel="1"/>
    <col min="58" max="58" width="8" style="3" hidden="1" customWidth="1" outlineLevel="1"/>
    <col min="59" max="59" width="6.125" style="3" hidden="1" customWidth="1" outlineLevel="1"/>
    <col min="60" max="60" width="5" style="3" hidden="1" customWidth="1" outlineLevel="1"/>
    <col min="61" max="61" width="6.875" style="3" hidden="1" customWidth="1" outlineLevel="1"/>
    <col min="62" max="63" width="5.25" style="3" hidden="1" customWidth="1" outlineLevel="1"/>
    <col min="64" max="64" width="6.875" style="3" hidden="1" customWidth="1" outlineLevel="1"/>
    <col min="65" max="66" width="3.625" style="3" hidden="1" customWidth="1" outlineLevel="1"/>
    <col min="67" max="67" width="6.125" style="3" hidden="1" customWidth="1" outlineLevel="1"/>
    <col min="68" max="68" width="3.62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11.875" style="3" hidden="1" customWidth="1" outlineLevel="1"/>
    <col min="72" max="72" width="9.5" style="1" customWidth="1" collapsed="1"/>
    <col min="73" max="73" width="10.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8" width="9.375" style="1" customWidth="1"/>
    <col min="79" max="79" width="11.125" style="1" bestFit="1" customWidth="1"/>
    <col min="80" max="80" width="9.625" style="1" bestFit="1" customWidth="1"/>
    <col min="81" max="82" width="10.5" style="1" bestFit="1" customWidth="1"/>
    <col min="83" max="83" width="3.75" style="1" bestFit="1" customWidth="1"/>
    <col min="84" max="85" width="7.375" style="2" bestFit="1" customWidth="1"/>
    <col min="86" max="86" width="14.375" style="2" bestFit="1" customWidth="1"/>
    <col min="87" max="87" width="10.375" style="2" customWidth="1"/>
    <col min="88" max="88" width="7.5" style="2" hidden="1" customWidth="1"/>
    <col min="89" max="89" width="11.125" style="2" hidden="1" customWidth="1"/>
    <col min="90" max="90" width="9.125" style="2" bestFit="1" customWidth="1"/>
    <col min="91" max="91" width="9" style="2" hidden="1" customWidth="1"/>
    <col min="92" max="92" width="10.5" style="2" bestFit="1" customWidth="1"/>
    <col min="93" max="93" width="7.625" style="2" bestFit="1" customWidth="1"/>
    <col min="94" max="94" width="10.5" style="2" bestFit="1" customWidth="1"/>
    <col min="95" max="95" width="1.625" style="1" customWidth="1"/>
    <col min="96" max="96" width="33.125" style="1" bestFit="1" customWidth="1"/>
    <col min="97" max="97" width="11.25" style="1" bestFit="1" customWidth="1"/>
    <col min="98" max="98" width="13.125" style="1" bestFit="1" customWidth="1"/>
    <col min="99" max="99" width="15.125" style="1" bestFit="1" customWidth="1"/>
    <col min="100" max="100" width="10.5" style="1" bestFit="1" customWidth="1"/>
  </cols>
  <sheetData>
    <row r="1" spans="1:101">
      <c r="A1" s="9" t="s">
        <v>63</v>
      </c>
    </row>
    <row r="2" spans="1:101">
      <c r="A2" s="97" t="s">
        <v>112</v>
      </c>
      <c r="CB2" s="66"/>
    </row>
    <row r="3" spans="1:101" ht="19.5" customHeight="1">
      <c r="A3" s="73" t="s">
        <v>0</v>
      </c>
      <c r="B3" s="73"/>
      <c r="C3" s="73"/>
      <c r="D3" s="73"/>
    </row>
    <row r="4" spans="1:101">
      <c r="BT4" s="8">
        <v>0.1</v>
      </c>
      <c r="BU4" s="96">
        <v>0.08</v>
      </c>
      <c r="BV4" s="8">
        <v>0.1</v>
      </c>
      <c r="BW4" s="8">
        <v>0.1</v>
      </c>
      <c r="BX4" s="8">
        <v>0.1</v>
      </c>
      <c r="BY4" s="8">
        <v>0.15</v>
      </c>
      <c r="BZ4" s="8">
        <v>0.3</v>
      </c>
      <c r="CA4" s="8"/>
      <c r="CB4" s="7"/>
      <c r="CC4" s="7"/>
      <c r="CD4" s="7">
        <v>0.5</v>
      </c>
    </row>
    <row r="5" spans="1:101" ht="16.5" customHeight="1">
      <c r="A5" s="74" t="s">
        <v>1</v>
      </c>
      <c r="B5" s="74" t="s">
        <v>2</v>
      </c>
      <c r="C5" s="75" t="s">
        <v>3</v>
      </c>
      <c r="D5" s="74" t="s">
        <v>4</v>
      </c>
      <c r="E5" s="74" t="s">
        <v>5</v>
      </c>
      <c r="F5" s="74" t="s">
        <v>6</v>
      </c>
      <c r="G5" s="75" t="s">
        <v>7</v>
      </c>
      <c r="H5" s="75" t="s">
        <v>8</v>
      </c>
      <c r="I5" s="76" t="s">
        <v>9</v>
      </c>
      <c r="J5" s="76"/>
      <c r="K5" s="76"/>
      <c r="L5" s="76"/>
      <c r="M5" s="76"/>
      <c r="N5" s="76"/>
      <c r="O5" s="76"/>
      <c r="P5" s="76"/>
      <c r="Q5" s="76"/>
      <c r="R5" s="77" t="s">
        <v>10</v>
      </c>
      <c r="S5" s="77"/>
      <c r="T5" s="77"/>
      <c r="U5" s="77"/>
      <c r="V5" s="77"/>
      <c r="W5" s="77"/>
      <c r="X5" s="77"/>
      <c r="Y5" s="77"/>
      <c r="Z5" s="77"/>
      <c r="AA5" s="76" t="s">
        <v>11</v>
      </c>
      <c r="AB5" s="76"/>
      <c r="AC5" s="76"/>
      <c r="AD5" s="77" t="s">
        <v>12</v>
      </c>
      <c r="AE5" s="77"/>
      <c r="AF5" s="77"/>
      <c r="AG5" s="76" t="s">
        <v>13</v>
      </c>
      <c r="AH5" s="76"/>
      <c r="AI5" s="76"/>
      <c r="AJ5" s="77" t="s">
        <v>14</v>
      </c>
      <c r="AK5" s="77"/>
      <c r="AL5" s="77"/>
      <c r="AM5" s="76" t="s">
        <v>15</v>
      </c>
      <c r="AN5" s="76"/>
      <c r="AO5" s="76"/>
      <c r="AP5" s="77" t="s">
        <v>16</v>
      </c>
      <c r="AQ5" s="77"/>
      <c r="AR5" s="77"/>
      <c r="AS5" s="76" t="s">
        <v>17</v>
      </c>
      <c r="AT5" s="76"/>
      <c r="AU5" s="76"/>
      <c r="AV5" s="77" t="s">
        <v>18</v>
      </c>
      <c r="AW5" s="77"/>
      <c r="AX5" s="77"/>
      <c r="AY5" s="76" t="s">
        <v>19</v>
      </c>
      <c r="AZ5" s="76"/>
      <c r="BA5" s="76"/>
      <c r="BB5" s="77" t="s">
        <v>20</v>
      </c>
      <c r="BC5" s="77"/>
      <c r="BD5" s="77"/>
      <c r="BE5" s="76" t="s">
        <v>21</v>
      </c>
      <c r="BF5" s="76"/>
      <c r="BG5" s="76"/>
      <c r="BH5" s="77" t="s">
        <v>22</v>
      </c>
      <c r="BI5" s="77"/>
      <c r="BJ5" s="77"/>
      <c r="BK5" s="76" t="s">
        <v>23</v>
      </c>
      <c r="BL5" s="76"/>
      <c r="BM5" s="76"/>
      <c r="BN5" s="77" t="s">
        <v>24</v>
      </c>
      <c r="BO5" s="77"/>
      <c r="BP5" s="77"/>
      <c r="BQ5" s="78" t="s">
        <v>25</v>
      </c>
      <c r="BR5" s="78" t="s">
        <v>26</v>
      </c>
      <c r="BS5" s="78" t="s">
        <v>27</v>
      </c>
      <c r="BT5" s="90" t="s">
        <v>62</v>
      </c>
      <c r="BU5" s="90" t="s">
        <v>61</v>
      </c>
      <c r="BV5" s="90" t="s">
        <v>60</v>
      </c>
      <c r="BW5" s="90" t="s">
        <v>59</v>
      </c>
      <c r="BX5" s="90" t="s">
        <v>58</v>
      </c>
      <c r="BY5" s="90" t="s">
        <v>57</v>
      </c>
      <c r="BZ5" s="90" t="s">
        <v>56</v>
      </c>
      <c r="CA5" s="90" t="s">
        <v>55</v>
      </c>
      <c r="CB5" s="90" t="s">
        <v>54</v>
      </c>
      <c r="CC5" s="93" t="s">
        <v>40</v>
      </c>
      <c r="CD5" s="81" t="s">
        <v>53</v>
      </c>
      <c r="CF5" s="83" t="s">
        <v>52</v>
      </c>
      <c r="CG5" s="85" t="s">
        <v>51</v>
      </c>
      <c r="CH5" s="85" t="s">
        <v>50</v>
      </c>
      <c r="CI5" s="87" t="s">
        <v>49</v>
      </c>
      <c r="CJ5" s="87" t="s">
        <v>48</v>
      </c>
      <c r="CK5" s="87" t="s">
        <v>27</v>
      </c>
      <c r="CL5" s="91" t="s">
        <v>47</v>
      </c>
      <c r="CM5" s="79" t="s">
        <v>46</v>
      </c>
      <c r="CN5" s="81" t="s">
        <v>64</v>
      </c>
      <c r="CO5" s="81" t="s">
        <v>65</v>
      </c>
      <c r="CP5" s="81" t="s">
        <v>66</v>
      </c>
      <c r="CR5" s="89" t="s">
        <v>45</v>
      </c>
      <c r="CS5" s="89" t="s">
        <v>44</v>
      </c>
      <c r="CT5" s="89" t="s">
        <v>43</v>
      </c>
      <c r="CU5" s="89" t="s">
        <v>42</v>
      </c>
      <c r="CV5" s="89" t="s">
        <v>41</v>
      </c>
    </row>
    <row r="6" spans="1:101" ht="27" customHeight="1">
      <c r="A6" s="74"/>
      <c r="B6" s="74"/>
      <c r="C6" s="75"/>
      <c r="D6" s="74"/>
      <c r="E6" s="74"/>
      <c r="F6" s="74"/>
      <c r="G6" s="75"/>
      <c r="H6" s="75"/>
      <c r="I6" s="6" t="s">
        <v>28</v>
      </c>
      <c r="J6" s="6" t="s">
        <v>29</v>
      </c>
      <c r="K6" s="6" t="s">
        <v>30</v>
      </c>
      <c r="L6" s="6" t="s">
        <v>31</v>
      </c>
      <c r="M6" s="6" t="s">
        <v>32</v>
      </c>
      <c r="N6" s="6" t="s">
        <v>33</v>
      </c>
      <c r="O6" s="6" t="s">
        <v>34</v>
      </c>
      <c r="P6" s="6" t="s">
        <v>35</v>
      </c>
      <c r="Q6" s="6" t="s">
        <v>36</v>
      </c>
      <c r="R6" s="6" t="s">
        <v>28</v>
      </c>
      <c r="S6" s="6" t="s">
        <v>29</v>
      </c>
      <c r="T6" s="6" t="s">
        <v>30</v>
      </c>
      <c r="U6" s="6" t="s">
        <v>31</v>
      </c>
      <c r="V6" s="6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28</v>
      </c>
      <c r="AB6" s="6" t="s">
        <v>37</v>
      </c>
      <c r="AC6" s="6" t="s">
        <v>38</v>
      </c>
      <c r="AD6" s="6" t="s">
        <v>28</v>
      </c>
      <c r="AE6" s="6" t="s">
        <v>37</v>
      </c>
      <c r="AF6" s="6" t="s">
        <v>38</v>
      </c>
      <c r="AG6" s="6" t="s">
        <v>28</v>
      </c>
      <c r="AH6" s="6" t="s">
        <v>37</v>
      </c>
      <c r="AI6" s="6" t="s">
        <v>38</v>
      </c>
      <c r="AJ6" s="6" t="s">
        <v>28</v>
      </c>
      <c r="AK6" s="6" t="s">
        <v>37</v>
      </c>
      <c r="AL6" s="6" t="s">
        <v>38</v>
      </c>
      <c r="AM6" s="6" t="s">
        <v>28</v>
      </c>
      <c r="AN6" s="6" t="s">
        <v>37</v>
      </c>
      <c r="AO6" s="6" t="s">
        <v>38</v>
      </c>
      <c r="AP6" s="6" t="s">
        <v>28</v>
      </c>
      <c r="AQ6" s="6" t="s">
        <v>37</v>
      </c>
      <c r="AR6" s="6" t="s">
        <v>38</v>
      </c>
      <c r="AS6" s="6" t="s">
        <v>28</v>
      </c>
      <c r="AT6" s="6" t="s">
        <v>37</v>
      </c>
      <c r="AU6" s="6" t="s">
        <v>38</v>
      </c>
      <c r="AV6" s="6" t="s">
        <v>28</v>
      </c>
      <c r="AW6" s="6" t="s">
        <v>37</v>
      </c>
      <c r="AX6" s="6" t="s">
        <v>38</v>
      </c>
      <c r="AY6" s="6" t="s">
        <v>28</v>
      </c>
      <c r="AZ6" s="6" t="s">
        <v>37</v>
      </c>
      <c r="BA6" s="6" t="s">
        <v>38</v>
      </c>
      <c r="BB6" s="6" t="s">
        <v>28</v>
      </c>
      <c r="BC6" s="6" t="s">
        <v>37</v>
      </c>
      <c r="BD6" s="6" t="s">
        <v>38</v>
      </c>
      <c r="BE6" s="6" t="s">
        <v>28</v>
      </c>
      <c r="BF6" s="6" t="s">
        <v>37</v>
      </c>
      <c r="BG6" s="6" t="s">
        <v>38</v>
      </c>
      <c r="BH6" s="6" t="s">
        <v>28</v>
      </c>
      <c r="BI6" s="6" t="s">
        <v>37</v>
      </c>
      <c r="BJ6" s="6" t="s">
        <v>38</v>
      </c>
      <c r="BK6" s="6" t="s">
        <v>28</v>
      </c>
      <c r="BL6" s="6" t="s">
        <v>37</v>
      </c>
      <c r="BM6" s="6" t="s">
        <v>38</v>
      </c>
      <c r="BN6" s="6" t="s">
        <v>28</v>
      </c>
      <c r="BO6" s="6" t="s">
        <v>37</v>
      </c>
      <c r="BP6" s="6" t="s">
        <v>38</v>
      </c>
      <c r="BQ6" s="78"/>
      <c r="BR6" s="78"/>
      <c r="BS6" s="78"/>
      <c r="BT6" s="90"/>
      <c r="BU6" s="90"/>
      <c r="BV6" s="90"/>
      <c r="BW6" s="90"/>
      <c r="BX6" s="90"/>
      <c r="BY6" s="90"/>
      <c r="BZ6" s="90"/>
      <c r="CA6" s="90"/>
      <c r="CB6" s="90"/>
      <c r="CC6" s="93" t="s">
        <v>40</v>
      </c>
      <c r="CD6" s="82"/>
      <c r="CF6" s="84"/>
      <c r="CG6" s="86"/>
      <c r="CH6" s="86"/>
      <c r="CI6" s="88"/>
      <c r="CJ6" s="88"/>
      <c r="CK6" s="88"/>
      <c r="CL6" s="92"/>
      <c r="CM6" s="80"/>
      <c r="CN6" s="82"/>
      <c r="CO6" s="82"/>
      <c r="CP6" s="82"/>
      <c r="CR6" s="89"/>
      <c r="CS6" s="89"/>
      <c r="CT6" s="89"/>
      <c r="CU6" s="89"/>
      <c r="CV6" s="89"/>
    </row>
    <row r="7" spans="1:101" s="53" customFormat="1" ht="16.5" customHeight="1">
      <c r="A7" s="37" t="s">
        <v>89</v>
      </c>
      <c r="B7" s="37">
        <v>519253</v>
      </c>
      <c r="C7" s="46"/>
      <c r="D7" s="37" t="s">
        <v>90</v>
      </c>
      <c r="E7" s="37">
        <v>248</v>
      </c>
      <c r="F7" s="37" t="s">
        <v>91</v>
      </c>
      <c r="G7" s="47" t="s">
        <v>92</v>
      </c>
      <c r="H7" s="47" t="s">
        <v>106</v>
      </c>
      <c r="I7" s="47">
        <v>1</v>
      </c>
      <c r="J7" s="47">
        <v>0</v>
      </c>
      <c r="K7" s="47">
        <v>300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8">
        <v>109862</v>
      </c>
      <c r="AB7" s="48">
        <v>13337540</v>
      </c>
      <c r="AC7" s="48">
        <v>18218940</v>
      </c>
      <c r="AD7" s="48">
        <v>6592</v>
      </c>
      <c r="AE7" s="48">
        <v>1477500</v>
      </c>
      <c r="AF7" s="48">
        <v>2042550</v>
      </c>
      <c r="AG7" s="48">
        <v>54332</v>
      </c>
      <c r="AH7" s="48">
        <v>12234886</v>
      </c>
      <c r="AI7" s="48">
        <v>5891700</v>
      </c>
      <c r="AJ7" s="48">
        <v>2245</v>
      </c>
      <c r="AK7" s="48">
        <v>757231</v>
      </c>
      <c r="AL7" s="48">
        <v>610500</v>
      </c>
      <c r="AM7" s="48">
        <v>10234</v>
      </c>
      <c r="AN7" s="48">
        <v>2982300</v>
      </c>
      <c r="AO7" s="48">
        <v>57400</v>
      </c>
      <c r="AP7" s="47">
        <v>1260</v>
      </c>
      <c r="AQ7" s="48">
        <v>684900</v>
      </c>
      <c r="AR7" s="48">
        <v>12600</v>
      </c>
      <c r="AS7" s="48">
        <v>15238</v>
      </c>
      <c r="AT7" s="48">
        <v>5385260</v>
      </c>
      <c r="AU7" s="48">
        <v>17400</v>
      </c>
      <c r="AV7" s="47">
        <v>686</v>
      </c>
      <c r="AW7" s="48">
        <v>418462</v>
      </c>
      <c r="AX7" s="48">
        <v>4400</v>
      </c>
      <c r="AY7" s="48">
        <v>39566</v>
      </c>
      <c r="AZ7" s="48">
        <v>13924440</v>
      </c>
      <c r="BA7" s="48">
        <v>76300</v>
      </c>
      <c r="BB7" s="47">
        <v>1747</v>
      </c>
      <c r="BC7" s="48">
        <v>1103280</v>
      </c>
      <c r="BD7" s="48">
        <v>11800</v>
      </c>
      <c r="BE7" s="48">
        <v>2293</v>
      </c>
      <c r="BF7" s="48">
        <v>801720</v>
      </c>
      <c r="BG7" s="48">
        <v>2800</v>
      </c>
      <c r="BH7" s="47">
        <v>721</v>
      </c>
      <c r="BI7" s="48">
        <v>446520</v>
      </c>
      <c r="BJ7" s="48">
        <v>4400</v>
      </c>
      <c r="BK7" s="47">
        <v>813</v>
      </c>
      <c r="BL7" s="48">
        <v>240400</v>
      </c>
      <c r="BM7" s="47">
        <v>0</v>
      </c>
      <c r="BN7" s="47">
        <v>18</v>
      </c>
      <c r="BO7" s="48">
        <v>11700</v>
      </c>
      <c r="BP7" s="47">
        <v>0</v>
      </c>
      <c r="BQ7" s="47">
        <v>192</v>
      </c>
      <c r="BR7" s="49">
        <v>6522637.7000000002</v>
      </c>
      <c r="BS7" s="50">
        <v>80757229</v>
      </c>
      <c r="BT7" s="39">
        <f t="shared" ref="BT7" si="0">BF7+BI7</f>
        <v>1248240</v>
      </c>
      <c r="BU7" s="39">
        <f t="shared" ref="BU7" si="1">AC7+AF7+AI7+AL7+AO7+AR7+AU7+AX7+BA7+BD7+BG7+BJ7+BM7+BP7+K7</f>
        <v>26951090</v>
      </c>
      <c r="BV7" s="39">
        <f t="shared" ref="BV7" si="2">AQ7+AN7+AB7+AE7</f>
        <v>18482240</v>
      </c>
      <c r="BW7" s="39">
        <f t="shared" ref="BW7" si="3">AT7+AW7</f>
        <v>5803722</v>
      </c>
      <c r="BX7" s="39">
        <f t="shared" ref="BX7" si="4">BC7+AZ7</f>
        <v>15027720</v>
      </c>
      <c r="BY7" s="39">
        <f t="shared" ref="BY7" si="5">BL7+BO7</f>
        <v>252100</v>
      </c>
      <c r="BZ7" s="39">
        <f t="shared" ref="BZ7" si="6">AH7+AK7</f>
        <v>12992117</v>
      </c>
      <c r="CA7" s="39">
        <f t="shared" ref="CA7" si="7">SUM(BT7:BZ7)</f>
        <v>80757229</v>
      </c>
      <c r="CB7" s="39">
        <f>ROUND(((BT7*$BT$4)+(BU7*$BU$4)+(BV7*$BV$4)+(BW7*$BW$4)+(BX7*$BX$4)+(BY7*$BY$4)+(BZ7*$BZ$4)),0)-46748</f>
        <v>10100982</v>
      </c>
      <c r="CC7" s="39">
        <f t="shared" ref="CC7" si="8">CA7-CB7</f>
        <v>70656247</v>
      </c>
      <c r="CD7" s="51">
        <f t="shared" ref="CD7" si="9">ROUND(CC7*$CD$4,0)</f>
        <v>35328124</v>
      </c>
      <c r="CE7" s="52"/>
      <c r="CF7" s="5" t="s">
        <v>107</v>
      </c>
      <c r="CG7" s="5" t="str">
        <f t="shared" ref="CG7" si="10">CF7</f>
        <v>2026-01</v>
      </c>
      <c r="CH7" s="4" t="s">
        <v>93</v>
      </c>
      <c r="CI7" s="4">
        <f t="shared" ref="CI7" si="11">CD7</f>
        <v>35328124</v>
      </c>
      <c r="CJ7" s="4">
        <v>0</v>
      </c>
      <c r="CK7" s="4">
        <f t="shared" ref="CK7" si="12">CI7+CJ7</f>
        <v>35328124</v>
      </c>
      <c r="CL7" s="4">
        <v>1</v>
      </c>
      <c r="CM7" s="4"/>
      <c r="CN7" s="4">
        <f t="shared" ref="CN7:CO7" si="13">CI7+CL7</f>
        <v>35328125</v>
      </c>
      <c r="CO7" s="4">
        <f t="shared" si="13"/>
        <v>0</v>
      </c>
      <c r="CP7" s="4">
        <f t="shared" ref="CP7" si="14">CN7+CO7</f>
        <v>35328125</v>
      </c>
      <c r="CQ7" s="1"/>
      <c r="CR7" s="2" t="str">
        <f t="shared" ref="CR7" si="15">CF7&amp;"월국내유상이용권_웹툰&lt;"&amp;CH7&amp;"&gt;"</f>
        <v>2026-01월국내유상이용권_웹툰&lt;이섭의연애&gt;</v>
      </c>
      <c r="CS7" s="2" t="s">
        <v>94</v>
      </c>
      <c r="CT7" s="2" t="s">
        <v>95</v>
      </c>
      <c r="CU7" s="2" t="s">
        <v>39</v>
      </c>
      <c r="CV7" s="34">
        <f t="shared" ref="CV7" si="16">CN7</f>
        <v>35328125</v>
      </c>
    </row>
    <row r="8" spans="1:101" s="53" customFormat="1" ht="16.5" customHeight="1">
      <c r="A8" s="37"/>
      <c r="B8" s="37"/>
      <c r="C8" s="46"/>
      <c r="D8" s="37"/>
      <c r="E8" s="37"/>
      <c r="F8" s="37"/>
      <c r="G8" s="47"/>
      <c r="H8" s="47"/>
      <c r="I8" s="47"/>
      <c r="J8" s="47"/>
      <c r="K8" s="48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7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7"/>
      <c r="BI8" s="48"/>
      <c r="BJ8" s="48"/>
      <c r="BK8" s="48"/>
      <c r="BL8" s="48"/>
      <c r="BM8" s="47"/>
      <c r="BN8" s="47"/>
      <c r="BO8" s="48"/>
      <c r="BP8" s="47"/>
      <c r="BQ8" s="47"/>
      <c r="BR8" s="49"/>
      <c r="BS8" s="38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51"/>
      <c r="CE8" s="52"/>
      <c r="CF8" s="5"/>
      <c r="CG8" s="5"/>
      <c r="CH8" s="4"/>
      <c r="CI8" s="4"/>
      <c r="CJ8" s="4"/>
      <c r="CK8" s="4"/>
      <c r="CL8" s="4"/>
      <c r="CM8" s="4"/>
      <c r="CN8" s="4"/>
      <c r="CO8" s="4"/>
      <c r="CP8" s="4"/>
      <c r="CQ8" s="1"/>
      <c r="CR8" s="2"/>
      <c r="CS8" s="2"/>
      <c r="CT8" s="2"/>
      <c r="CU8" s="2"/>
      <c r="CV8" s="34"/>
    </row>
    <row r="9" spans="1:101" s="53" customFormat="1" ht="16.5" customHeight="1">
      <c r="A9" s="37"/>
      <c r="B9" s="37"/>
      <c r="C9" s="46"/>
      <c r="D9" s="37"/>
      <c r="E9" s="37"/>
      <c r="F9" s="3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7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7"/>
      <c r="BI9" s="48"/>
      <c r="BJ9" s="48"/>
      <c r="BK9" s="47"/>
      <c r="BL9" s="48"/>
      <c r="BM9" s="47"/>
      <c r="BN9" s="47"/>
      <c r="BO9" s="48"/>
      <c r="BP9" s="47"/>
      <c r="BQ9" s="47"/>
      <c r="BR9" s="49"/>
      <c r="BS9" s="38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51"/>
      <c r="CE9" s="52"/>
      <c r="CF9" s="5"/>
      <c r="CG9" s="5"/>
      <c r="CH9" s="4"/>
      <c r="CI9" s="4"/>
      <c r="CJ9" s="4"/>
      <c r="CK9" s="4"/>
      <c r="CL9" s="4"/>
      <c r="CM9" s="4"/>
      <c r="CN9" s="4"/>
      <c r="CO9" s="4"/>
      <c r="CP9" s="4"/>
      <c r="CQ9" s="1"/>
      <c r="CR9" s="2"/>
      <c r="CS9" s="2"/>
      <c r="CT9" s="2"/>
      <c r="CU9" s="2"/>
      <c r="CV9" s="34"/>
    </row>
    <row r="10" spans="1:101" s="53" customFormat="1" ht="16.5" customHeight="1">
      <c r="A10" s="37"/>
      <c r="B10" s="37"/>
      <c r="C10" s="46"/>
      <c r="D10" s="37"/>
      <c r="E10" s="37"/>
      <c r="F10" s="3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7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7"/>
      <c r="BI10" s="48"/>
      <c r="BJ10" s="48"/>
      <c r="BK10" s="47"/>
      <c r="BL10" s="48"/>
      <c r="BM10" s="47"/>
      <c r="BN10" s="47"/>
      <c r="BO10" s="48"/>
      <c r="BP10" s="47"/>
      <c r="BQ10" s="47"/>
      <c r="BR10" s="49"/>
      <c r="BS10" s="38"/>
      <c r="BT10" s="39"/>
      <c r="BU10" s="39"/>
      <c r="BV10" s="39"/>
      <c r="BW10" s="39"/>
      <c r="BX10" s="39"/>
      <c r="BY10" s="39"/>
      <c r="BZ10" s="39"/>
      <c r="CA10" s="39"/>
      <c r="CB10" s="42"/>
      <c r="CC10" s="39"/>
      <c r="CD10" s="51"/>
      <c r="CE10" s="52"/>
      <c r="CF10" s="5"/>
      <c r="CG10" s="5"/>
      <c r="CH10" s="4"/>
      <c r="CI10" s="4"/>
      <c r="CJ10" s="4"/>
      <c r="CK10" s="4"/>
      <c r="CL10" s="4"/>
      <c r="CM10" s="4"/>
      <c r="CN10" s="4"/>
      <c r="CO10" s="4"/>
      <c r="CP10" s="4"/>
      <c r="CQ10" s="1"/>
      <c r="CR10" s="2"/>
      <c r="CS10" s="2"/>
      <c r="CT10" s="2"/>
      <c r="CU10" s="2"/>
      <c r="CV10" s="34"/>
    </row>
    <row r="11" spans="1:101" s="53" customFormat="1" ht="16.5" customHeight="1">
      <c r="A11" s="37"/>
      <c r="B11" s="37"/>
      <c r="C11" s="46"/>
      <c r="D11" s="37"/>
      <c r="E11" s="37"/>
      <c r="F11" s="3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7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7"/>
      <c r="BI11" s="48"/>
      <c r="BJ11" s="48"/>
      <c r="BK11" s="47"/>
      <c r="BL11" s="48"/>
      <c r="BM11" s="47"/>
      <c r="BN11" s="47"/>
      <c r="BO11" s="48"/>
      <c r="BP11" s="47"/>
      <c r="BQ11" s="47"/>
      <c r="BR11" s="49"/>
      <c r="BS11" s="50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51"/>
      <c r="CE11" s="1"/>
      <c r="CF11" s="5"/>
      <c r="CG11" s="5"/>
      <c r="CH11" s="4"/>
      <c r="CI11" s="4"/>
      <c r="CJ11" s="4"/>
      <c r="CK11" s="4"/>
      <c r="CL11" s="4"/>
      <c r="CM11" s="4"/>
      <c r="CN11" s="4"/>
      <c r="CO11" s="4"/>
      <c r="CP11" s="4"/>
      <c r="CQ11" s="1"/>
      <c r="CR11" s="2"/>
      <c r="CS11" s="2"/>
      <c r="CT11" s="2"/>
      <c r="CU11" s="2"/>
      <c r="CV11" s="34"/>
    </row>
    <row r="12" spans="1:101" s="53" customFormat="1" ht="16.5" customHeight="1">
      <c r="A12" s="37"/>
      <c r="B12" s="37"/>
      <c r="C12" s="46"/>
      <c r="D12" s="37"/>
      <c r="E12" s="37"/>
      <c r="F12" s="3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7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7"/>
      <c r="BI12" s="48"/>
      <c r="BJ12" s="48"/>
      <c r="BK12" s="47"/>
      <c r="BL12" s="48"/>
      <c r="BM12" s="47"/>
      <c r="BN12" s="47"/>
      <c r="BO12" s="48"/>
      <c r="BP12" s="47"/>
      <c r="BQ12" s="47"/>
      <c r="BR12" s="49"/>
      <c r="BS12" s="50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51"/>
      <c r="CE12" s="1"/>
      <c r="CF12" s="5"/>
      <c r="CG12" s="5"/>
      <c r="CH12" s="4"/>
      <c r="CI12" s="4"/>
      <c r="CJ12" s="4"/>
      <c r="CK12" s="4"/>
      <c r="CL12" s="4"/>
      <c r="CM12" s="4"/>
      <c r="CN12" s="4"/>
      <c r="CO12" s="4"/>
      <c r="CP12" s="4"/>
      <c r="CQ12" s="1"/>
      <c r="CR12" s="2"/>
      <c r="CS12" s="2"/>
      <c r="CT12" s="2"/>
      <c r="CU12" s="2"/>
      <c r="CV12" s="34"/>
    </row>
    <row r="13" spans="1:101" s="1" customFormat="1" ht="16.5" customHeight="1">
      <c r="A13" s="54"/>
      <c r="B13" s="54"/>
      <c r="C13" s="55"/>
      <c r="D13" s="54"/>
      <c r="E13" s="54"/>
      <c r="F13" s="54"/>
      <c r="AA13" s="56"/>
      <c r="AB13" s="56"/>
      <c r="AC13" s="56"/>
      <c r="AD13" s="56"/>
      <c r="AE13" s="56"/>
      <c r="AF13" s="56"/>
      <c r="AG13" s="56"/>
      <c r="AH13" s="56"/>
      <c r="AI13" s="56"/>
      <c r="AK13" s="56"/>
      <c r="AL13" s="56"/>
      <c r="AM13" s="56"/>
      <c r="AN13" s="56"/>
      <c r="AO13" s="56"/>
      <c r="AQ13" s="56"/>
      <c r="AR13" s="56"/>
      <c r="AS13" s="56"/>
      <c r="AT13" s="56"/>
      <c r="AU13" s="56"/>
      <c r="AW13" s="56"/>
      <c r="AX13" s="56"/>
      <c r="AY13" s="56"/>
      <c r="AZ13" s="56"/>
      <c r="BA13" s="56"/>
      <c r="BC13" s="56"/>
      <c r="BD13" s="56"/>
      <c r="BF13" s="56"/>
      <c r="BI13" s="56"/>
      <c r="BJ13" s="56"/>
      <c r="BL13" s="56"/>
      <c r="BO13" s="56"/>
      <c r="BR13" s="57"/>
      <c r="BS13" s="58"/>
      <c r="BT13" s="44"/>
      <c r="BU13" s="44"/>
      <c r="BV13" s="44"/>
      <c r="BW13" s="44"/>
      <c r="BX13" s="44"/>
      <c r="BY13" s="44"/>
      <c r="BZ13" s="44"/>
      <c r="CA13" s="44"/>
      <c r="CB13" s="45"/>
      <c r="CC13" s="44"/>
      <c r="CD13" s="51"/>
      <c r="CF13" s="5"/>
      <c r="CG13" s="5"/>
      <c r="CH13" s="4"/>
      <c r="CI13" s="4"/>
      <c r="CJ13" s="4"/>
      <c r="CK13" s="4"/>
      <c r="CL13" s="4"/>
      <c r="CM13" s="4"/>
      <c r="CN13" s="4"/>
      <c r="CO13" s="4"/>
      <c r="CP13" s="4"/>
      <c r="CR13" s="2"/>
      <c r="CS13" s="2"/>
      <c r="CT13" s="2"/>
      <c r="CU13" s="2"/>
      <c r="CV13" s="34"/>
    </row>
    <row r="14" spans="1:101" s="53" customFormat="1" ht="16.5" customHeight="1">
      <c r="A14" s="37"/>
      <c r="B14" s="37"/>
      <c r="C14" s="46"/>
      <c r="D14" s="37"/>
      <c r="E14" s="37"/>
      <c r="F14" s="3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8"/>
      <c r="AF14" s="48"/>
      <c r="AG14" s="47"/>
      <c r="AH14" s="47"/>
      <c r="AI14" s="47"/>
      <c r="AJ14" s="47"/>
      <c r="AK14" s="48"/>
      <c r="AL14" s="48"/>
      <c r="AM14" s="47"/>
      <c r="AN14" s="47"/>
      <c r="AO14" s="47"/>
      <c r="AP14" s="47"/>
      <c r="AQ14" s="48"/>
      <c r="AR14" s="47"/>
      <c r="AS14" s="47"/>
      <c r="AT14" s="47"/>
      <c r="AU14" s="47"/>
      <c r="AV14" s="47"/>
      <c r="AW14" s="48"/>
      <c r="AX14" s="47"/>
      <c r="AY14" s="47"/>
      <c r="AZ14" s="47"/>
      <c r="BA14" s="47"/>
      <c r="BB14" s="47"/>
      <c r="BC14" s="48"/>
      <c r="BD14" s="47"/>
      <c r="BE14" s="47"/>
      <c r="BF14" s="47"/>
      <c r="BG14" s="47"/>
      <c r="BH14" s="47"/>
      <c r="BI14" s="48"/>
      <c r="BJ14" s="47"/>
      <c r="BK14" s="47"/>
      <c r="BL14" s="47"/>
      <c r="BM14" s="47"/>
      <c r="BN14" s="47"/>
      <c r="BO14" s="47"/>
      <c r="BP14" s="47"/>
      <c r="BQ14" s="47"/>
      <c r="BR14" s="49"/>
      <c r="BS14" s="50"/>
      <c r="BT14" s="39"/>
      <c r="BU14" s="39"/>
      <c r="BV14" s="39"/>
      <c r="BW14" s="39"/>
      <c r="BX14" s="39"/>
      <c r="BY14" s="39"/>
      <c r="BZ14" s="39"/>
      <c r="CA14" s="39"/>
      <c r="CB14" s="42"/>
      <c r="CC14" s="39"/>
      <c r="CD14" s="51"/>
      <c r="CE14" s="1"/>
      <c r="CF14" s="5"/>
      <c r="CG14" s="5"/>
      <c r="CH14" s="4"/>
      <c r="CI14" s="4"/>
      <c r="CJ14" s="4"/>
      <c r="CK14" s="4"/>
      <c r="CL14" s="4"/>
      <c r="CM14" s="4"/>
      <c r="CN14" s="4"/>
      <c r="CO14" s="4"/>
      <c r="CP14" s="4"/>
      <c r="CQ14" s="1"/>
      <c r="CR14" s="2"/>
      <c r="CS14" s="2"/>
      <c r="CT14" s="2"/>
      <c r="CU14" s="2"/>
      <c r="CV14" s="34"/>
      <c r="CW14" s="1"/>
    </row>
    <row r="15" spans="1:101" s="53" customFormat="1" ht="16.5" customHeight="1">
      <c r="A15" s="59"/>
      <c r="B15" s="59"/>
      <c r="C15" s="60"/>
      <c r="D15" s="59"/>
      <c r="E15" s="59"/>
      <c r="F15" s="59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2"/>
      <c r="AF15" s="62"/>
      <c r="AG15" s="61"/>
      <c r="AH15" s="61"/>
      <c r="AI15" s="61"/>
      <c r="AJ15" s="61"/>
      <c r="AK15" s="62"/>
      <c r="AL15" s="62"/>
      <c r="AM15" s="61"/>
      <c r="AN15" s="61"/>
      <c r="AO15" s="61"/>
      <c r="AP15" s="61"/>
      <c r="AQ15" s="62"/>
      <c r="AR15" s="61"/>
      <c r="AS15" s="61"/>
      <c r="AT15" s="61"/>
      <c r="AU15" s="61"/>
      <c r="AV15" s="61"/>
      <c r="AW15" s="62"/>
      <c r="AX15" s="61"/>
      <c r="AY15" s="61"/>
      <c r="AZ15" s="61"/>
      <c r="BA15" s="61"/>
      <c r="BB15" s="61"/>
      <c r="BC15" s="62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3"/>
      <c r="BS15" s="64"/>
      <c r="BT15" s="39"/>
      <c r="BU15" s="39"/>
      <c r="BV15" s="39"/>
      <c r="BW15" s="39"/>
      <c r="BX15" s="39"/>
      <c r="BY15" s="39"/>
      <c r="BZ15" s="39"/>
      <c r="CA15" s="39"/>
      <c r="CB15" s="42"/>
      <c r="CC15" s="39"/>
      <c r="CD15" s="51"/>
      <c r="CE15" s="1"/>
      <c r="CF15" s="5"/>
      <c r="CG15" s="5"/>
      <c r="CH15" s="4"/>
      <c r="CI15" s="4"/>
      <c r="CJ15" s="4"/>
      <c r="CK15" s="4"/>
      <c r="CL15" s="4"/>
      <c r="CM15" s="4"/>
      <c r="CN15" s="4"/>
      <c r="CO15" s="4"/>
      <c r="CP15" s="4"/>
      <c r="CQ15" s="1"/>
      <c r="CR15" s="2"/>
      <c r="CS15" s="2"/>
      <c r="CT15" s="2"/>
      <c r="CU15" s="2"/>
      <c r="CV15" s="34"/>
    </row>
    <row r="16" spans="1:101" s="53" customFormat="1" ht="16.5" customHeight="1">
      <c r="A16" s="54"/>
      <c r="B16" s="54"/>
      <c r="C16" s="55"/>
      <c r="D16" s="54"/>
      <c r="E16" s="54"/>
      <c r="F16" s="5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6"/>
      <c r="AF16" s="56"/>
      <c r="AG16" s="1"/>
      <c r="AH16" s="1"/>
      <c r="AI16" s="1"/>
      <c r="AJ16" s="1"/>
      <c r="AK16" s="56"/>
      <c r="AL16" s="56"/>
      <c r="AM16" s="1"/>
      <c r="AN16" s="1"/>
      <c r="AO16" s="1"/>
      <c r="AP16" s="1"/>
      <c r="AQ16" s="56"/>
      <c r="AR16" s="1"/>
      <c r="AS16" s="1"/>
      <c r="AT16" s="1"/>
      <c r="AU16" s="1"/>
      <c r="AV16" s="1"/>
      <c r="AW16" s="56"/>
      <c r="AX16" s="1"/>
      <c r="AY16" s="1"/>
      <c r="AZ16" s="1"/>
      <c r="BA16" s="1"/>
      <c r="BB16" s="1"/>
      <c r="BC16" s="56"/>
      <c r="BD16" s="56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57"/>
      <c r="BS16" s="58"/>
      <c r="BT16" s="39"/>
      <c r="BU16" s="39"/>
      <c r="BV16" s="39"/>
      <c r="BW16" s="39"/>
      <c r="BX16" s="39"/>
      <c r="BY16" s="39"/>
      <c r="BZ16" s="39"/>
      <c r="CA16" s="39"/>
      <c r="CB16" s="42"/>
      <c r="CC16" s="39"/>
      <c r="CD16" s="51"/>
      <c r="CE16" s="1"/>
      <c r="CF16" s="5"/>
      <c r="CG16" s="5"/>
      <c r="CH16" s="4"/>
      <c r="CI16" s="4"/>
      <c r="CJ16" s="4"/>
      <c r="CK16" s="4"/>
      <c r="CL16" s="4"/>
      <c r="CM16" s="4"/>
      <c r="CN16" s="4"/>
      <c r="CO16" s="4"/>
      <c r="CP16" s="4"/>
      <c r="CQ16" s="1"/>
      <c r="CR16" s="2"/>
      <c r="CS16" s="2"/>
      <c r="CT16" s="2"/>
      <c r="CU16" s="2"/>
      <c r="CV16" s="34"/>
    </row>
    <row r="17" spans="1:100" s="1" customFormat="1" ht="16.5" customHeight="1">
      <c r="A17" s="67"/>
      <c r="B17" s="67"/>
      <c r="C17" s="68"/>
      <c r="D17" s="67"/>
      <c r="E17" s="67"/>
      <c r="F17" s="67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70"/>
      <c r="AF17" s="70"/>
      <c r="AG17" s="69"/>
      <c r="AH17" s="69"/>
      <c r="AI17" s="69"/>
      <c r="AJ17" s="69"/>
      <c r="AK17" s="69"/>
      <c r="AL17" s="70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70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71"/>
      <c r="BS17" s="72"/>
      <c r="BT17" s="44"/>
      <c r="BU17" s="44"/>
      <c r="BV17" s="44"/>
      <c r="BW17" s="44"/>
      <c r="BX17" s="44"/>
      <c r="BY17" s="44"/>
      <c r="BZ17" s="44"/>
      <c r="CA17" s="44"/>
      <c r="CB17" s="45"/>
      <c r="CC17" s="44"/>
      <c r="CD17" s="51"/>
      <c r="CF17" s="5"/>
      <c r="CG17" s="5"/>
      <c r="CH17" s="4"/>
      <c r="CI17" s="4"/>
      <c r="CJ17" s="4"/>
      <c r="CK17" s="4"/>
      <c r="CL17" s="4"/>
      <c r="CM17" s="4"/>
      <c r="CN17" s="4"/>
      <c r="CO17" s="4"/>
      <c r="CP17" s="4"/>
      <c r="CR17" s="2"/>
      <c r="CS17" s="2"/>
      <c r="CT17" s="2"/>
      <c r="CU17" s="2"/>
      <c r="CV17" s="34"/>
    </row>
    <row r="18" spans="1:100" s="47" customFormat="1" ht="16.5" customHeight="1">
      <c r="A18" s="67"/>
      <c r="B18" s="67"/>
      <c r="C18" s="68"/>
      <c r="D18" s="67"/>
      <c r="E18" s="67"/>
      <c r="F18" s="67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70"/>
      <c r="AF18" s="70"/>
      <c r="AG18" s="69"/>
      <c r="AH18" s="69"/>
      <c r="AI18" s="69"/>
      <c r="AJ18" s="69"/>
      <c r="AK18" s="69"/>
      <c r="AL18" s="70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70"/>
      <c r="BJ18" s="69"/>
      <c r="BK18" s="69"/>
      <c r="BL18" s="69"/>
      <c r="BM18" s="69"/>
      <c r="BN18" s="69"/>
      <c r="BO18" s="69"/>
      <c r="BP18" s="69"/>
      <c r="BQ18" s="69"/>
      <c r="BR18" s="71"/>
      <c r="BS18" s="72"/>
      <c r="BT18" s="44"/>
      <c r="BU18" s="44"/>
      <c r="BV18" s="44"/>
      <c r="BW18" s="44"/>
      <c r="BX18" s="44"/>
      <c r="BY18" s="44"/>
      <c r="BZ18" s="44"/>
      <c r="CA18" s="44"/>
      <c r="CB18" s="45"/>
      <c r="CC18" s="44"/>
      <c r="CD18" s="51"/>
      <c r="CE18" s="1"/>
      <c r="CF18" s="5"/>
      <c r="CG18" s="5"/>
      <c r="CH18" s="4"/>
      <c r="CI18" s="4"/>
      <c r="CJ18" s="4"/>
      <c r="CK18" s="4"/>
      <c r="CL18" s="4"/>
      <c r="CM18" s="4"/>
      <c r="CN18" s="4"/>
      <c r="CO18" s="4"/>
      <c r="CP18" s="4"/>
      <c r="CQ18" s="1"/>
      <c r="CR18" s="2"/>
      <c r="CS18" s="2"/>
      <c r="CT18" s="2"/>
      <c r="CU18" s="2"/>
      <c r="CV18" s="34"/>
    </row>
    <row r="19" spans="1:100" s="53" customFormat="1" ht="13.15">
      <c r="A19" s="1"/>
      <c r="B19" s="1"/>
      <c r="C19" s="1"/>
      <c r="D19" s="1"/>
      <c r="E19" s="1"/>
      <c r="F19" s="1"/>
      <c r="G19" s="1"/>
      <c r="H19" s="1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1"/>
      <c r="BU19" s="1"/>
      <c r="BV19" s="1"/>
      <c r="BW19" s="1"/>
      <c r="BX19" s="1"/>
      <c r="BY19" s="1"/>
      <c r="BZ19" s="1"/>
      <c r="CA19" s="1"/>
      <c r="CB19" s="66"/>
      <c r="CC19" s="1"/>
      <c r="CD19" s="1"/>
      <c r="CE19" s="1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1"/>
      <c r="CR19" s="1"/>
      <c r="CS19" s="1"/>
      <c r="CT19" s="1"/>
      <c r="CU19" s="1"/>
      <c r="CV19" s="1"/>
    </row>
    <row r="20" spans="1:100" s="53" customFormat="1" ht="13.15">
      <c r="A20" s="1"/>
      <c r="B20" s="1"/>
      <c r="C20" s="1"/>
      <c r="D20" s="1"/>
      <c r="E20" s="1"/>
      <c r="F20" s="1"/>
      <c r="G20" s="1"/>
      <c r="H20" s="1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1"/>
      <c r="BU20" s="1"/>
      <c r="BV20" s="1"/>
      <c r="BW20" s="1"/>
      <c r="BX20" s="1"/>
      <c r="BY20" s="1"/>
      <c r="BZ20" s="1"/>
      <c r="CA20" s="1"/>
      <c r="CB20" s="66"/>
      <c r="CC20" s="1"/>
      <c r="CD20" s="1"/>
      <c r="CE20" s="1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1"/>
      <c r="CR20" s="1"/>
      <c r="CS20" s="1"/>
      <c r="CT20" s="1"/>
      <c r="CU20" s="1"/>
      <c r="CV20" s="1"/>
    </row>
    <row r="21" spans="1:100" s="53" customFormat="1" ht="13.15">
      <c r="A21" s="1"/>
      <c r="B21" s="1"/>
      <c r="C21" s="1"/>
      <c r="D21" s="1"/>
      <c r="E21" s="1"/>
      <c r="F21" s="1"/>
      <c r="G21" s="1"/>
      <c r="H21" s="1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1"/>
      <c r="BU21" s="1"/>
      <c r="BV21" s="1"/>
      <c r="BW21" s="1"/>
      <c r="BX21" s="1"/>
      <c r="BY21" s="1"/>
      <c r="BZ21" s="1"/>
      <c r="CA21" s="1"/>
      <c r="CB21" s="66"/>
      <c r="CC21" s="1"/>
      <c r="CD21" s="1"/>
      <c r="CE21" s="1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1"/>
      <c r="CR21" s="1"/>
      <c r="CS21" s="1"/>
      <c r="CT21" s="1"/>
      <c r="CU21" s="1"/>
      <c r="CV21" s="1"/>
    </row>
    <row r="22" spans="1:100" s="53" customFormat="1" ht="13.15">
      <c r="A22" s="1"/>
      <c r="B22" s="1"/>
      <c r="C22" s="1"/>
      <c r="D22" s="1"/>
      <c r="E22" s="1"/>
      <c r="F22" s="1"/>
      <c r="G22" s="1"/>
      <c r="H22" s="1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1"/>
      <c r="CR22" s="1"/>
      <c r="CS22" s="1"/>
      <c r="CT22" s="1"/>
      <c r="CU22" s="1"/>
      <c r="CV22" s="1"/>
    </row>
    <row r="23" spans="1:100" s="53" customFormat="1" ht="13.15">
      <c r="A23" s="1"/>
      <c r="B23" s="1"/>
      <c r="C23" s="1"/>
      <c r="D23" s="1"/>
      <c r="E23" s="1"/>
      <c r="F23" s="1"/>
      <c r="G23" s="1"/>
      <c r="H23" s="1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1"/>
      <c r="CR23" s="1"/>
      <c r="CS23" s="1"/>
      <c r="CT23" s="1"/>
      <c r="CU23" s="1"/>
      <c r="CV23" s="1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5"/>
  <sheetViews>
    <sheetView showGridLines="0" workbookViewId="0">
      <selection activeCell="C5" sqref="C5"/>
    </sheetView>
  </sheetViews>
  <sheetFormatPr defaultRowHeight="16.899999999999999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>
      <c r="B3" s="94" t="s">
        <v>78</v>
      </c>
      <c r="C3" s="94"/>
      <c r="D3" s="94"/>
      <c r="E3" s="94"/>
      <c r="F3" s="94"/>
      <c r="G3" s="94"/>
    </row>
    <row r="4" spans="2:7">
      <c r="B4" s="25" t="s">
        <v>79</v>
      </c>
      <c r="C4" s="25" t="s">
        <v>80</v>
      </c>
      <c r="D4" s="25" t="s">
        <v>81</v>
      </c>
      <c r="E4" s="25" t="s">
        <v>85</v>
      </c>
      <c r="F4" s="25" t="s">
        <v>87</v>
      </c>
      <c r="G4" s="25" t="s">
        <v>82</v>
      </c>
    </row>
    <row r="5" spans="2:7">
      <c r="B5" s="35" t="s">
        <v>96</v>
      </c>
      <c r="C5" s="35" t="s">
        <v>104</v>
      </c>
      <c r="D5" s="36" t="s">
        <v>83</v>
      </c>
      <c r="E5" s="35" t="s">
        <v>86</v>
      </c>
      <c r="F5" s="35" t="s">
        <v>88</v>
      </c>
      <c r="G5" s="35" t="s">
        <v>84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1월_정산내역서</vt:lpstr>
      <vt:lpstr>1월_세금계산서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2026-02-05T03:34:02Z</dcterms:modified>
</cp:coreProperties>
</file>