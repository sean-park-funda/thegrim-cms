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1FBDA40D-442F-4E0C-9BE8-4CC6074E71D3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3" r:id="rId1"/>
    <sheet name="1월_세금계산서" sheetId="14" r:id="rId2"/>
    <sheet name="작품별 집계" sheetId="12" r:id="rId3"/>
    <sheet name="컨텐츠별 매출 통계" sheetId="8" r:id="rId4"/>
    <sheet name="로그인정보" sheetId="9" r:id="rId5"/>
    <sheet name="KEY" sheetId="11" r:id="rId6"/>
  </sheets>
  <definedNames>
    <definedName name="_xlnm._FilterDatabase" localSheetId="5" hidden="1">KEY!$A$3:$F$54</definedName>
    <definedName name="_xlnm._FilterDatabase" localSheetId="2" hidden="1">'작품별 집계'!$A$6:$CN$55</definedName>
    <definedName name="_xlnm._FilterDatabase" localSheetId="3" hidden="1">'컨텐츠별 매출 통계'!$A$6:$CX$55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7" i="12" l="1"/>
  <c r="BU7" i="12"/>
  <c r="BV7" i="12"/>
  <c r="BT8" i="12"/>
  <c r="BU8" i="12"/>
  <c r="BV8" i="12"/>
  <c r="BT9" i="12"/>
  <c r="BU9" i="12"/>
  <c r="BV9" i="12"/>
  <c r="BT10" i="12"/>
  <c r="BU10" i="12"/>
  <c r="BV10" i="12"/>
  <c r="BT11" i="12"/>
  <c r="BU11" i="12"/>
  <c r="BV11" i="12"/>
  <c r="BT12" i="12"/>
  <c r="BU12" i="12"/>
  <c r="BV12" i="12"/>
  <c r="BT13" i="12"/>
  <c r="BU13" i="12"/>
  <c r="BV13" i="12"/>
  <c r="BT14" i="12"/>
  <c r="BU14" i="12"/>
  <c r="BV14" i="12"/>
  <c r="BT15" i="12"/>
  <c r="BU15" i="12"/>
  <c r="BV15" i="12"/>
  <c r="BT16" i="12"/>
  <c r="BU16" i="12"/>
  <c r="BV16" i="12"/>
  <c r="BT17" i="12"/>
  <c r="BU17" i="12"/>
  <c r="BV17" i="12"/>
  <c r="BT18" i="12"/>
  <c r="BU18" i="12"/>
  <c r="BV18" i="12"/>
  <c r="BT19" i="12"/>
  <c r="BU19" i="12"/>
  <c r="BV19" i="12"/>
  <c r="BT20" i="12"/>
  <c r="BU20" i="12"/>
  <c r="BV20" i="12"/>
  <c r="BT21" i="12"/>
  <c r="BU21" i="12"/>
  <c r="BV21" i="12"/>
  <c r="BT22" i="12"/>
  <c r="BU22" i="12"/>
  <c r="BV22" i="12"/>
  <c r="BT23" i="12"/>
  <c r="BU23" i="12"/>
  <c r="BV23" i="12"/>
  <c r="BT24" i="12"/>
  <c r="BU24" i="12"/>
  <c r="BV24" i="12"/>
  <c r="BT25" i="12"/>
  <c r="BU25" i="12"/>
  <c r="BV25" i="12"/>
  <c r="BT26" i="12"/>
  <c r="BU26" i="12"/>
  <c r="BV26" i="12"/>
  <c r="BT27" i="12"/>
  <c r="BU27" i="12"/>
  <c r="BV27" i="12"/>
  <c r="BT28" i="12"/>
  <c r="BU28" i="12"/>
  <c r="BV28" i="12"/>
  <c r="BT29" i="12"/>
  <c r="BU29" i="12"/>
  <c r="BV29" i="12"/>
  <c r="BT30" i="12"/>
  <c r="BU30" i="12"/>
  <c r="BV30" i="12"/>
  <c r="BT31" i="12"/>
  <c r="BU31" i="12"/>
  <c r="BV31" i="12"/>
  <c r="BT32" i="12"/>
  <c r="BU32" i="12"/>
  <c r="BV32" i="12"/>
  <c r="BT33" i="12"/>
  <c r="BU33" i="12"/>
  <c r="BV33" i="12"/>
  <c r="BT34" i="12"/>
  <c r="BU34" i="12"/>
  <c r="BV34" i="12"/>
  <c r="BT35" i="12"/>
  <c r="BU35" i="12"/>
  <c r="BV35" i="12"/>
  <c r="BT36" i="12"/>
  <c r="BU36" i="12"/>
  <c r="BV36" i="12"/>
  <c r="BT37" i="12"/>
  <c r="BU37" i="12"/>
  <c r="BV37" i="12"/>
  <c r="BT38" i="12"/>
  <c r="BU38" i="12"/>
  <c r="BV38" i="12"/>
  <c r="BT39" i="12"/>
  <c r="BU39" i="12"/>
  <c r="BV39" i="12"/>
  <c r="BT40" i="12"/>
  <c r="BU40" i="12"/>
  <c r="BV40" i="12"/>
  <c r="BT41" i="12"/>
  <c r="BU41" i="12"/>
  <c r="BV41" i="12"/>
  <c r="BT42" i="12"/>
  <c r="BU42" i="12"/>
  <c r="BV42" i="12"/>
  <c r="BT43" i="12"/>
  <c r="BU43" i="12"/>
  <c r="BV43" i="12"/>
  <c r="BT44" i="12"/>
  <c r="BU44" i="12"/>
  <c r="BV44" i="12"/>
  <c r="BT45" i="12"/>
  <c r="BU45" i="12"/>
  <c r="BV45" i="12"/>
  <c r="BT46" i="12"/>
  <c r="BU46" i="12"/>
  <c r="BV46" i="12"/>
  <c r="BT47" i="12"/>
  <c r="BU47" i="12"/>
  <c r="BV47" i="12"/>
  <c r="BT48" i="12"/>
  <c r="BU48" i="12"/>
  <c r="BV48" i="12"/>
  <c r="BT49" i="12"/>
  <c r="BU49" i="12"/>
  <c r="BV49" i="12"/>
  <c r="BT50" i="12"/>
  <c r="BU50" i="12"/>
  <c r="BV50" i="12"/>
  <c r="BT51" i="12"/>
  <c r="BU51" i="12"/>
  <c r="BV51" i="12"/>
  <c r="BT52" i="12"/>
  <c r="BU52" i="12"/>
  <c r="BV52" i="12"/>
  <c r="BT53" i="12"/>
  <c r="BU53" i="12"/>
  <c r="BV53" i="12"/>
  <c r="BT54" i="12"/>
  <c r="BU54" i="12"/>
  <c r="BV54" i="12"/>
  <c r="BT55" i="12"/>
  <c r="BU55" i="12"/>
  <c r="BV55" i="12"/>
  <c r="CB52" i="8"/>
  <c r="CB51" i="8"/>
  <c r="CB53" i="8"/>
  <c r="CB54" i="8"/>
  <c r="CO55" i="8"/>
  <c r="CH55" i="8"/>
  <c r="CT55" i="8" s="1"/>
  <c r="CX55" i="8" s="1"/>
  <c r="CG55" i="8"/>
  <c r="CB55" i="8"/>
  <c r="BZ55" i="8"/>
  <c r="BY55" i="8"/>
  <c r="BX55" i="8"/>
  <c r="BW55" i="8"/>
  <c r="BV55" i="8"/>
  <c r="BU55" i="8"/>
  <c r="BT55" i="8"/>
  <c r="CO54" i="8"/>
  <c r="CH54" i="8"/>
  <c r="CT54" i="8" s="1"/>
  <c r="CX54" i="8" s="1"/>
  <c r="CG54" i="8"/>
  <c r="BZ54" i="8"/>
  <c r="BY54" i="8"/>
  <c r="BX54" i="8"/>
  <c r="BW54" i="8"/>
  <c r="BV54" i="8"/>
  <c r="BU54" i="8"/>
  <c r="BT54" i="8"/>
  <c r="CO53" i="8"/>
  <c r="CH53" i="8"/>
  <c r="CT53" i="8" s="1"/>
  <c r="CX53" i="8" s="1"/>
  <c r="CG53" i="8"/>
  <c r="BZ53" i="8"/>
  <c r="BY53" i="8"/>
  <c r="BX53" i="8"/>
  <c r="BW53" i="8"/>
  <c r="BV53" i="8"/>
  <c r="BU53" i="8"/>
  <c r="BT53" i="8"/>
  <c r="CO52" i="8"/>
  <c r="CH52" i="8"/>
  <c r="CR52" i="8" s="1"/>
  <c r="CG52" i="8"/>
  <c r="BZ52" i="8"/>
  <c r="BY52" i="8"/>
  <c r="BX52" i="8"/>
  <c r="BW52" i="8"/>
  <c r="BV52" i="8"/>
  <c r="BU52" i="8"/>
  <c r="BT52" i="8"/>
  <c r="CO51" i="8"/>
  <c r="CH51" i="8"/>
  <c r="CT51" i="8" s="1"/>
  <c r="CX51" i="8" s="1"/>
  <c r="CG51" i="8"/>
  <c r="BZ51" i="8"/>
  <c r="BY51" i="8"/>
  <c r="BX51" i="8"/>
  <c r="BW51" i="8"/>
  <c r="BV51" i="8"/>
  <c r="BU51" i="8"/>
  <c r="BT51" i="8"/>
  <c r="CO50" i="8"/>
  <c r="CH50" i="8"/>
  <c r="CT50" i="8" s="1"/>
  <c r="CX50" i="8" s="1"/>
  <c r="CG50" i="8"/>
  <c r="CB50" i="8"/>
  <c r="BZ50" i="8"/>
  <c r="BY50" i="8"/>
  <c r="BX50" i="8"/>
  <c r="BW50" i="8"/>
  <c r="BV50" i="8"/>
  <c r="BU50" i="8"/>
  <c r="BT50" i="8"/>
  <c r="CO49" i="8"/>
  <c r="CH49" i="8"/>
  <c r="CS49" i="8" s="1"/>
  <c r="CW49" i="8" s="1"/>
  <c r="CG49" i="8"/>
  <c r="CB49" i="8"/>
  <c r="BZ49" i="8"/>
  <c r="BY49" i="8"/>
  <c r="BX49" i="8"/>
  <c r="BW49" i="8"/>
  <c r="BV49" i="8"/>
  <c r="BU49" i="8"/>
  <c r="BT49" i="8"/>
  <c r="CO48" i="8"/>
  <c r="CH48" i="8"/>
  <c r="CT48" i="8" s="1"/>
  <c r="CX48" i="8" s="1"/>
  <c r="CG48" i="8"/>
  <c r="CB48" i="8"/>
  <c r="BZ48" i="8"/>
  <c r="BY48" i="8"/>
  <c r="BX48" i="8"/>
  <c r="BW48" i="8"/>
  <c r="BV48" i="8"/>
  <c r="BU48" i="8"/>
  <c r="BT48" i="8"/>
  <c r="CO47" i="8"/>
  <c r="CH47" i="8"/>
  <c r="CT47" i="8" s="1"/>
  <c r="CX47" i="8" s="1"/>
  <c r="CG47" i="8"/>
  <c r="CB47" i="8"/>
  <c r="BZ47" i="8"/>
  <c r="BY47" i="8"/>
  <c r="BX47" i="8"/>
  <c r="BW47" i="8"/>
  <c r="BV47" i="8"/>
  <c r="BU47" i="8"/>
  <c r="BT47" i="8"/>
  <c r="CO46" i="8"/>
  <c r="CH46" i="8"/>
  <c r="CR46" i="8" s="1"/>
  <c r="CG46" i="8"/>
  <c r="CB46" i="8"/>
  <c r="BZ46" i="8"/>
  <c r="BY46" i="8"/>
  <c r="BX46" i="8"/>
  <c r="BW46" i="8"/>
  <c r="BV46" i="8"/>
  <c r="BU46" i="8"/>
  <c r="BT46" i="8"/>
  <c r="CO45" i="8"/>
  <c r="CH45" i="8"/>
  <c r="CS45" i="8" s="1"/>
  <c r="CW45" i="8" s="1"/>
  <c r="CG45" i="8"/>
  <c r="CB45" i="8"/>
  <c r="BZ45" i="8"/>
  <c r="BY45" i="8"/>
  <c r="BX45" i="8"/>
  <c r="BW45" i="8"/>
  <c r="BV45" i="8"/>
  <c r="BU45" i="8"/>
  <c r="BT45" i="8"/>
  <c r="CO44" i="8"/>
  <c r="CH44" i="8"/>
  <c r="CT44" i="8" s="1"/>
  <c r="CX44" i="8" s="1"/>
  <c r="CG44" i="8"/>
  <c r="CB44" i="8"/>
  <c r="BZ44" i="8"/>
  <c r="BY44" i="8"/>
  <c r="BX44" i="8"/>
  <c r="BW44" i="8"/>
  <c r="BV44" i="8"/>
  <c r="BU44" i="8"/>
  <c r="BT44" i="8"/>
  <c r="CO43" i="8"/>
  <c r="CH43" i="8"/>
  <c r="CT43" i="8" s="1"/>
  <c r="CX43" i="8" s="1"/>
  <c r="CG43" i="8"/>
  <c r="CB43" i="8"/>
  <c r="BZ43" i="8"/>
  <c r="BY43" i="8"/>
  <c r="BX43" i="8"/>
  <c r="BW43" i="8"/>
  <c r="BV43" i="8"/>
  <c r="BU43" i="8"/>
  <c r="BT43" i="8"/>
  <c r="CO42" i="8"/>
  <c r="CH42" i="8"/>
  <c r="CR42" i="8" s="1"/>
  <c r="CG42" i="8"/>
  <c r="CB42" i="8"/>
  <c r="BZ42" i="8"/>
  <c r="BY42" i="8"/>
  <c r="BX42" i="8"/>
  <c r="BW42" i="8"/>
  <c r="BV42" i="8"/>
  <c r="BU42" i="8"/>
  <c r="BT42" i="8"/>
  <c r="CO41" i="8"/>
  <c r="CH41" i="8"/>
  <c r="CT41" i="8" s="1"/>
  <c r="CX41" i="8" s="1"/>
  <c r="CG41" i="8"/>
  <c r="CB41" i="8"/>
  <c r="BZ41" i="8"/>
  <c r="BY41" i="8"/>
  <c r="BX41" i="8"/>
  <c r="BW41" i="8"/>
  <c r="BV41" i="8"/>
  <c r="BU41" i="8"/>
  <c r="BT41" i="8"/>
  <c r="CA41" i="8" s="1"/>
  <c r="CC41" i="8" s="1"/>
  <c r="CD41" i="8" s="1"/>
  <c r="CI41" i="8" s="1"/>
  <c r="CO40" i="8"/>
  <c r="CH40" i="8"/>
  <c r="CT40" i="8" s="1"/>
  <c r="CX40" i="8" s="1"/>
  <c r="CG40" i="8"/>
  <c r="CB40" i="8"/>
  <c r="BZ40" i="8"/>
  <c r="BY40" i="8"/>
  <c r="BX40" i="8"/>
  <c r="BW40" i="8"/>
  <c r="BV40" i="8"/>
  <c r="BU40" i="8"/>
  <c r="BT40" i="8"/>
  <c r="CO39" i="8"/>
  <c r="CH39" i="8"/>
  <c r="CS39" i="8" s="1"/>
  <c r="CW39" i="8" s="1"/>
  <c r="CG39" i="8"/>
  <c r="CB39" i="8"/>
  <c r="BZ39" i="8"/>
  <c r="BY39" i="8"/>
  <c r="BX39" i="8"/>
  <c r="BW39" i="8"/>
  <c r="BV39" i="8"/>
  <c r="BU39" i="8"/>
  <c r="BT39" i="8"/>
  <c r="CO38" i="8"/>
  <c r="CH38" i="8"/>
  <c r="CT38" i="8" s="1"/>
  <c r="CX38" i="8" s="1"/>
  <c r="CG38" i="8"/>
  <c r="CB38" i="8"/>
  <c r="BZ38" i="8"/>
  <c r="BY38" i="8"/>
  <c r="BX38" i="8"/>
  <c r="BW38" i="8"/>
  <c r="BV38" i="8"/>
  <c r="BU38" i="8"/>
  <c r="BT38" i="8"/>
  <c r="CA38" i="8" s="1"/>
  <c r="CC38" i="8" s="1"/>
  <c r="CD38" i="8" s="1"/>
  <c r="CI38" i="8" s="1"/>
  <c r="CO37" i="8"/>
  <c r="CH37" i="8"/>
  <c r="CT37" i="8" s="1"/>
  <c r="CX37" i="8" s="1"/>
  <c r="CG37" i="8"/>
  <c r="CB37" i="8"/>
  <c r="BZ37" i="8"/>
  <c r="BY37" i="8"/>
  <c r="BX37" i="8"/>
  <c r="BW37" i="8"/>
  <c r="BV37" i="8"/>
  <c r="BU37" i="8"/>
  <c r="BT37" i="8"/>
  <c r="CO36" i="8"/>
  <c r="CH36" i="8"/>
  <c r="CT36" i="8" s="1"/>
  <c r="CX36" i="8" s="1"/>
  <c r="CG36" i="8"/>
  <c r="CB36" i="8"/>
  <c r="BZ36" i="8"/>
  <c r="BY36" i="8"/>
  <c r="BX36" i="8"/>
  <c r="BW36" i="8"/>
  <c r="BV36" i="8"/>
  <c r="BU36" i="8"/>
  <c r="BT36" i="8"/>
  <c r="CO35" i="8"/>
  <c r="CH35" i="8"/>
  <c r="CT35" i="8" s="1"/>
  <c r="CX35" i="8" s="1"/>
  <c r="CG35" i="8"/>
  <c r="CB35" i="8"/>
  <c r="BZ35" i="8"/>
  <c r="BY35" i="8"/>
  <c r="BX35" i="8"/>
  <c r="BW35" i="8"/>
  <c r="BV35" i="8"/>
  <c r="BU35" i="8"/>
  <c r="BT35" i="8"/>
  <c r="CO34" i="8"/>
  <c r="CH34" i="8"/>
  <c r="CT34" i="8" s="1"/>
  <c r="CX34" i="8" s="1"/>
  <c r="CG34" i="8"/>
  <c r="CB34" i="8"/>
  <c r="BZ34" i="8"/>
  <c r="BY34" i="8"/>
  <c r="BX34" i="8"/>
  <c r="BW34" i="8"/>
  <c r="BV34" i="8"/>
  <c r="BU34" i="8"/>
  <c r="BT34" i="8"/>
  <c r="CO33" i="8"/>
  <c r="CH33" i="8"/>
  <c r="CR33" i="8" s="1"/>
  <c r="CG33" i="8"/>
  <c r="CB33" i="8"/>
  <c r="BZ33" i="8"/>
  <c r="BY33" i="8"/>
  <c r="BX33" i="8"/>
  <c r="BW33" i="8"/>
  <c r="BV33" i="8"/>
  <c r="BU33" i="8"/>
  <c r="BT33" i="8"/>
  <c r="CO32" i="8"/>
  <c r="CH32" i="8"/>
  <c r="CT32" i="8" s="1"/>
  <c r="CX32" i="8" s="1"/>
  <c r="CG32" i="8"/>
  <c r="CB32" i="8"/>
  <c r="BZ32" i="8"/>
  <c r="BY32" i="8"/>
  <c r="BX32" i="8"/>
  <c r="BW32" i="8"/>
  <c r="BV32" i="8"/>
  <c r="BU32" i="8"/>
  <c r="BT32" i="8"/>
  <c r="CO31" i="8"/>
  <c r="CH31" i="8"/>
  <c r="CT31" i="8" s="1"/>
  <c r="CX31" i="8" s="1"/>
  <c r="CG31" i="8"/>
  <c r="CB31" i="8"/>
  <c r="BZ31" i="8"/>
  <c r="BY31" i="8"/>
  <c r="BX31" i="8"/>
  <c r="BW31" i="8"/>
  <c r="BV31" i="8"/>
  <c r="BU31" i="8"/>
  <c r="BT31" i="8"/>
  <c r="CO30" i="8"/>
  <c r="CH30" i="8"/>
  <c r="CT30" i="8" s="1"/>
  <c r="CX30" i="8" s="1"/>
  <c r="CG30" i="8"/>
  <c r="CB30" i="8"/>
  <c r="BZ30" i="8"/>
  <c r="BY30" i="8"/>
  <c r="BX30" i="8"/>
  <c r="BW30" i="8"/>
  <c r="BV30" i="8"/>
  <c r="BU30" i="8"/>
  <c r="BT30" i="8"/>
  <c r="CO29" i="8"/>
  <c r="CH29" i="8"/>
  <c r="CT29" i="8" s="1"/>
  <c r="CX29" i="8" s="1"/>
  <c r="CG29" i="8"/>
  <c r="CB29" i="8"/>
  <c r="BZ29" i="8"/>
  <c r="BY29" i="8"/>
  <c r="BX29" i="8"/>
  <c r="BW29" i="8"/>
  <c r="BV29" i="8"/>
  <c r="BU29" i="8"/>
  <c r="BT29" i="8"/>
  <c r="CO28" i="8"/>
  <c r="CH28" i="8"/>
  <c r="CR28" i="8" s="1"/>
  <c r="CG28" i="8"/>
  <c r="CB28" i="8"/>
  <c r="BZ28" i="8"/>
  <c r="BY28" i="8"/>
  <c r="BX28" i="8"/>
  <c r="BW28" i="8"/>
  <c r="BV28" i="8"/>
  <c r="BU28" i="8"/>
  <c r="BT28" i="8"/>
  <c r="CO27" i="8"/>
  <c r="CH27" i="8"/>
  <c r="CT27" i="8" s="1"/>
  <c r="CX27" i="8" s="1"/>
  <c r="CG27" i="8"/>
  <c r="CB27" i="8"/>
  <c r="BZ27" i="8"/>
  <c r="BY27" i="8"/>
  <c r="BX27" i="8"/>
  <c r="BW27" i="8"/>
  <c r="BV27" i="8"/>
  <c r="BU27" i="8"/>
  <c r="BT27" i="8"/>
  <c r="CO26" i="8"/>
  <c r="CH26" i="8"/>
  <c r="CT26" i="8" s="1"/>
  <c r="CX26" i="8" s="1"/>
  <c r="CG26" i="8"/>
  <c r="CB26" i="8"/>
  <c r="BZ26" i="8"/>
  <c r="BY26" i="8"/>
  <c r="BX26" i="8"/>
  <c r="BW26" i="8"/>
  <c r="BV26" i="8"/>
  <c r="BU26" i="8"/>
  <c r="BT26" i="8"/>
  <c r="CO25" i="8"/>
  <c r="CH25" i="8"/>
  <c r="CT25" i="8" s="1"/>
  <c r="CX25" i="8" s="1"/>
  <c r="CG25" i="8"/>
  <c r="CB25" i="8"/>
  <c r="BZ25" i="8"/>
  <c r="BY25" i="8"/>
  <c r="BX25" i="8"/>
  <c r="BW25" i="8"/>
  <c r="BV25" i="8"/>
  <c r="BU25" i="8"/>
  <c r="BT25" i="8"/>
  <c r="CO24" i="8"/>
  <c r="CH24" i="8"/>
  <c r="CT24" i="8" s="1"/>
  <c r="CX24" i="8" s="1"/>
  <c r="CG24" i="8"/>
  <c r="CB24" i="8"/>
  <c r="BZ24" i="8"/>
  <c r="BY24" i="8"/>
  <c r="BX24" i="8"/>
  <c r="BW24" i="8"/>
  <c r="BV24" i="8"/>
  <c r="BU24" i="8"/>
  <c r="BT24" i="8"/>
  <c r="CO23" i="8"/>
  <c r="CH23" i="8"/>
  <c r="CT23" i="8" s="1"/>
  <c r="CX23" i="8" s="1"/>
  <c r="CG23" i="8"/>
  <c r="CB23" i="8"/>
  <c r="BZ23" i="8"/>
  <c r="BY23" i="8"/>
  <c r="BX23" i="8"/>
  <c r="BW23" i="8"/>
  <c r="BV23" i="8"/>
  <c r="BU23" i="8"/>
  <c r="BT23" i="8"/>
  <c r="CO22" i="8"/>
  <c r="CH22" i="8"/>
  <c r="CT22" i="8" s="1"/>
  <c r="CX22" i="8" s="1"/>
  <c r="CG22" i="8"/>
  <c r="CB22" i="8"/>
  <c r="BZ22" i="8"/>
  <c r="BY22" i="8"/>
  <c r="BX22" i="8"/>
  <c r="BW22" i="8"/>
  <c r="BV22" i="8"/>
  <c r="BU22" i="8"/>
  <c r="BT22" i="8"/>
  <c r="CO21" i="8"/>
  <c r="CH21" i="8"/>
  <c r="CR21" i="8" s="1"/>
  <c r="CG21" i="8"/>
  <c r="CB21" i="8"/>
  <c r="BZ21" i="8"/>
  <c r="BY21" i="8"/>
  <c r="BX21" i="8"/>
  <c r="BW21" i="8"/>
  <c r="BV21" i="8"/>
  <c r="BU21" i="8"/>
  <c r="BT21" i="8"/>
  <c r="CO20" i="8"/>
  <c r="CH20" i="8"/>
  <c r="CT20" i="8" s="1"/>
  <c r="CX20" i="8" s="1"/>
  <c r="CG20" i="8"/>
  <c r="CB20" i="8"/>
  <c r="BZ20" i="8"/>
  <c r="BY20" i="8"/>
  <c r="BX20" i="8"/>
  <c r="BW20" i="8"/>
  <c r="BV20" i="8"/>
  <c r="BU20" i="8"/>
  <c r="BT20" i="8"/>
  <c r="CO19" i="8"/>
  <c r="CH19" i="8"/>
  <c r="CT19" i="8" s="1"/>
  <c r="CX19" i="8" s="1"/>
  <c r="CG19" i="8"/>
  <c r="CB19" i="8"/>
  <c r="BZ19" i="8"/>
  <c r="BY19" i="8"/>
  <c r="BX19" i="8"/>
  <c r="BW19" i="8"/>
  <c r="BV19" i="8"/>
  <c r="BU19" i="8"/>
  <c r="BT19" i="8"/>
  <c r="CO18" i="8"/>
  <c r="CH18" i="8"/>
  <c r="CR18" i="8" s="1"/>
  <c r="CG18" i="8"/>
  <c r="CB18" i="8"/>
  <c r="BZ18" i="8"/>
  <c r="BY18" i="8"/>
  <c r="BX18" i="8"/>
  <c r="BW18" i="8"/>
  <c r="BV18" i="8"/>
  <c r="BU18" i="8"/>
  <c r="BT18" i="8"/>
  <c r="CO17" i="8"/>
  <c r="CH17" i="8"/>
  <c r="CT17" i="8" s="1"/>
  <c r="CX17" i="8" s="1"/>
  <c r="CG17" i="8"/>
  <c r="CB17" i="8"/>
  <c r="BZ17" i="8"/>
  <c r="BY17" i="8"/>
  <c r="BX17" i="8"/>
  <c r="BW17" i="8"/>
  <c r="BV17" i="8"/>
  <c r="BU17" i="8"/>
  <c r="BT17" i="8"/>
  <c r="CO16" i="8"/>
  <c r="CH16" i="8"/>
  <c r="CT16" i="8" s="1"/>
  <c r="CX16" i="8" s="1"/>
  <c r="CG16" i="8"/>
  <c r="CB16" i="8"/>
  <c r="BZ16" i="8"/>
  <c r="BY16" i="8"/>
  <c r="BX16" i="8"/>
  <c r="BW16" i="8"/>
  <c r="BV16" i="8"/>
  <c r="BU16" i="8"/>
  <c r="BT16" i="8"/>
  <c r="CO15" i="8"/>
  <c r="CH15" i="8"/>
  <c r="CT15" i="8" s="1"/>
  <c r="CX15" i="8" s="1"/>
  <c r="CG15" i="8"/>
  <c r="CB15" i="8"/>
  <c r="BZ15" i="8"/>
  <c r="BY15" i="8"/>
  <c r="BX15" i="8"/>
  <c r="BW15" i="8"/>
  <c r="BV15" i="8"/>
  <c r="BU15" i="8"/>
  <c r="BT15" i="8"/>
  <c r="CO14" i="8"/>
  <c r="CH14" i="8"/>
  <c r="CT14" i="8" s="1"/>
  <c r="CX14" i="8" s="1"/>
  <c r="CG14" i="8"/>
  <c r="CB14" i="8"/>
  <c r="BZ14" i="8"/>
  <c r="BY14" i="8"/>
  <c r="BX14" i="8"/>
  <c r="BW14" i="8"/>
  <c r="BV14" i="8"/>
  <c r="BU14" i="8"/>
  <c r="BT14" i="8"/>
  <c r="CO13" i="8"/>
  <c r="CH13" i="8"/>
  <c r="CT13" i="8" s="1"/>
  <c r="CX13" i="8" s="1"/>
  <c r="CG13" i="8"/>
  <c r="CB13" i="8"/>
  <c r="BZ13" i="8"/>
  <c r="BY13" i="8"/>
  <c r="BX13" i="8"/>
  <c r="BW13" i="8"/>
  <c r="BV13" i="8"/>
  <c r="BU13" i="8"/>
  <c r="BT13" i="8"/>
  <c r="CO12" i="8"/>
  <c r="CH12" i="8"/>
  <c r="CT12" i="8" s="1"/>
  <c r="CX12" i="8" s="1"/>
  <c r="CG12" i="8"/>
  <c r="CB12" i="8"/>
  <c r="BZ12" i="8"/>
  <c r="BY12" i="8"/>
  <c r="BX12" i="8"/>
  <c r="BW12" i="8"/>
  <c r="BV12" i="8"/>
  <c r="BU12" i="8"/>
  <c r="BT12" i="8"/>
  <c r="CO11" i="8"/>
  <c r="CH11" i="8"/>
  <c r="CR11" i="8" s="1"/>
  <c r="CG11" i="8"/>
  <c r="CB11" i="8"/>
  <c r="D28" i="13" s="1"/>
  <c r="BZ11" i="8"/>
  <c r="BY11" i="8"/>
  <c r="BX11" i="8"/>
  <c r="BW11" i="8"/>
  <c r="BV11" i="8"/>
  <c r="BU11" i="8"/>
  <c r="BT11" i="8"/>
  <c r="CO10" i="8"/>
  <c r="CH10" i="8"/>
  <c r="CT10" i="8" s="1"/>
  <c r="CX10" i="8" s="1"/>
  <c r="CG10" i="8"/>
  <c r="CB10" i="8"/>
  <c r="BZ10" i="8"/>
  <c r="BY10" i="8"/>
  <c r="BX10" i="8"/>
  <c r="BW10" i="8"/>
  <c r="BV10" i="8"/>
  <c r="BU10" i="8"/>
  <c r="BT10" i="8"/>
  <c r="CO9" i="8"/>
  <c r="CH9" i="8"/>
  <c r="CT9" i="8" s="1"/>
  <c r="CX9" i="8" s="1"/>
  <c r="CG9" i="8"/>
  <c r="CB9" i="8"/>
  <c r="BZ9" i="8"/>
  <c r="BY9" i="8"/>
  <c r="BX9" i="8"/>
  <c r="BW9" i="8"/>
  <c r="BV9" i="8"/>
  <c r="BU9" i="8"/>
  <c r="BT9" i="8"/>
  <c r="CO8" i="8"/>
  <c r="CH8" i="8"/>
  <c r="CR8" i="8" s="1"/>
  <c r="CG8" i="8"/>
  <c r="CB8" i="8"/>
  <c r="BZ8" i="8"/>
  <c r="BY8" i="8"/>
  <c r="BX8" i="8"/>
  <c r="BW8" i="8"/>
  <c r="BV8" i="8"/>
  <c r="BU8" i="8"/>
  <c r="BT8" i="8"/>
  <c r="CO7" i="8"/>
  <c r="CH7" i="8"/>
  <c r="CT7" i="8" s="1"/>
  <c r="CX7" i="8" s="1"/>
  <c r="CG7" i="8"/>
  <c r="CB7" i="8"/>
  <c r="BZ7" i="8"/>
  <c r="BY7" i="8"/>
  <c r="BX7" i="8"/>
  <c r="BW7" i="8"/>
  <c r="BV7" i="8"/>
  <c r="BU7" i="8"/>
  <c r="BT7" i="8"/>
  <c r="CA15" i="8" l="1"/>
  <c r="CC15" i="8" s="1"/>
  <c r="CD15" i="8" s="1"/>
  <c r="CI15" i="8" s="1"/>
  <c r="CA31" i="8"/>
  <c r="CC31" i="8" s="1"/>
  <c r="CD31" i="8" s="1"/>
  <c r="CI31" i="8" s="1"/>
  <c r="CA10" i="8"/>
  <c r="CC10" i="8" s="1"/>
  <c r="CD10" i="8" s="1"/>
  <c r="CI10" i="8" s="1"/>
  <c r="CA12" i="8"/>
  <c r="CC12" i="8" s="1"/>
  <c r="CD12" i="8" s="1"/>
  <c r="CI12" i="8" s="1"/>
  <c r="CA28" i="8"/>
  <c r="CC28" i="8" s="1"/>
  <c r="CD28" i="8" s="1"/>
  <c r="CI28" i="8" s="1"/>
  <c r="CN28" i="8" s="1"/>
  <c r="CA44" i="8"/>
  <c r="CA55" i="8"/>
  <c r="CC55" i="8" s="1"/>
  <c r="CD55" i="8" s="1"/>
  <c r="CI55" i="8" s="1"/>
  <c r="G28" i="13"/>
  <c r="CA14" i="8"/>
  <c r="CC14" i="8" s="1"/>
  <c r="CD14" i="8" s="1"/>
  <c r="CI14" i="8" s="1"/>
  <c r="CN14" i="8" s="1"/>
  <c r="CA42" i="8"/>
  <c r="CC42" i="8" s="1"/>
  <c r="CD42" i="8" s="1"/>
  <c r="CI42" i="8" s="1"/>
  <c r="CN42" i="8" s="1"/>
  <c r="CA45" i="8"/>
  <c r="CC45" i="8" s="1"/>
  <c r="CD45" i="8" s="1"/>
  <c r="CI45" i="8" s="1"/>
  <c r="CK45" i="8" s="1"/>
  <c r="CA20" i="8"/>
  <c r="CC20" i="8" s="1"/>
  <c r="CD20" i="8" s="1"/>
  <c r="CI20" i="8" s="1"/>
  <c r="CA48" i="8"/>
  <c r="CC48" i="8" s="1"/>
  <c r="CD48" i="8" s="1"/>
  <c r="CI48" i="8" s="1"/>
  <c r="CA54" i="8"/>
  <c r="CC54" i="8" s="1"/>
  <c r="CD54" i="8" s="1"/>
  <c r="CI54" i="8" s="1"/>
  <c r="CK54" i="8" s="1"/>
  <c r="CA51" i="8"/>
  <c r="CC51" i="8" s="1"/>
  <c r="CD51" i="8" s="1"/>
  <c r="CI51" i="8" s="1"/>
  <c r="CN51" i="8" s="1"/>
  <c r="CA34" i="8"/>
  <c r="CC34" i="8" s="1"/>
  <c r="CD34" i="8" s="1"/>
  <c r="CI34" i="8" s="1"/>
  <c r="CN34" i="8" s="1"/>
  <c r="CA8" i="8"/>
  <c r="CC8" i="8" s="1"/>
  <c r="CD8" i="8" s="1"/>
  <c r="CI8" i="8" s="1"/>
  <c r="CK8" i="8" s="1"/>
  <c r="CA24" i="8"/>
  <c r="CC24" i="8" s="1"/>
  <c r="CD24" i="8" s="1"/>
  <c r="CI24" i="8" s="1"/>
  <c r="CK24" i="8" s="1"/>
  <c r="CA18" i="8"/>
  <c r="CC18" i="8" s="1"/>
  <c r="CD18" i="8" s="1"/>
  <c r="CI18" i="8" s="1"/>
  <c r="CA21" i="8"/>
  <c r="CC21" i="8" s="1"/>
  <c r="CD21" i="8" s="1"/>
  <c r="CI21" i="8" s="1"/>
  <c r="CA11" i="8"/>
  <c r="CC11" i="8" s="1"/>
  <c r="CD11" i="8" s="1"/>
  <c r="CI11" i="8" s="1"/>
  <c r="CK11" i="8" s="1"/>
  <c r="CA27" i="8"/>
  <c r="CA17" i="8"/>
  <c r="CC17" i="8" s="1"/>
  <c r="CD17" i="8" s="1"/>
  <c r="CI17" i="8" s="1"/>
  <c r="CA49" i="8"/>
  <c r="CC49" i="8" s="1"/>
  <c r="CD49" i="8" s="1"/>
  <c r="CI49" i="8" s="1"/>
  <c r="CR51" i="8"/>
  <c r="CA19" i="8"/>
  <c r="CC19" i="8" s="1"/>
  <c r="CD19" i="8" s="1"/>
  <c r="CI19" i="8" s="1"/>
  <c r="CN19" i="8" s="1"/>
  <c r="CA7" i="8"/>
  <c r="CC7" i="8" s="1"/>
  <c r="CD7" i="8" s="1"/>
  <c r="CI7" i="8" s="1"/>
  <c r="CN7" i="8" s="1"/>
  <c r="CA52" i="8"/>
  <c r="CC52" i="8" s="1"/>
  <c r="CD52" i="8" s="1"/>
  <c r="CI52" i="8" s="1"/>
  <c r="CK52" i="8" s="1"/>
  <c r="CA39" i="8"/>
  <c r="CC39" i="8" s="1"/>
  <c r="CD39" i="8" s="1"/>
  <c r="CI39" i="8" s="1"/>
  <c r="CN39" i="8" s="1"/>
  <c r="CA32" i="8"/>
  <c r="CC32" i="8" s="1"/>
  <c r="CD32" i="8" s="1"/>
  <c r="CI32" i="8" s="1"/>
  <c r="CK32" i="8" s="1"/>
  <c r="CA35" i="8"/>
  <c r="CC35" i="8" s="1"/>
  <c r="CD35" i="8" s="1"/>
  <c r="CI35" i="8" s="1"/>
  <c r="CN35" i="8" s="1"/>
  <c r="CA25" i="8"/>
  <c r="CC25" i="8" s="1"/>
  <c r="CD25" i="8" s="1"/>
  <c r="CI25" i="8" s="1"/>
  <c r="CK25" i="8" s="1"/>
  <c r="CR36" i="8"/>
  <c r="CR15" i="8"/>
  <c r="CA23" i="8"/>
  <c r="CC23" i="8" s="1"/>
  <c r="CD23" i="8" s="1"/>
  <c r="CI23" i="8" s="1"/>
  <c r="CK23" i="8" s="1"/>
  <c r="CR35" i="8"/>
  <c r="CA37" i="8"/>
  <c r="CC37" i="8" s="1"/>
  <c r="CD37" i="8" s="1"/>
  <c r="CI37" i="8" s="1"/>
  <c r="CK37" i="8" s="1"/>
  <c r="CR22" i="8"/>
  <c r="CA30" i="8"/>
  <c r="CC30" i="8" s="1"/>
  <c r="CD30" i="8" s="1"/>
  <c r="CI30" i="8" s="1"/>
  <c r="CK30" i="8" s="1"/>
  <c r="CS36" i="8"/>
  <c r="CW36" i="8" s="1"/>
  <c r="CA47" i="8"/>
  <c r="CC47" i="8" s="1"/>
  <c r="CD47" i="8" s="1"/>
  <c r="CI47" i="8" s="1"/>
  <c r="CN47" i="8" s="1"/>
  <c r="CA13" i="8"/>
  <c r="CC13" i="8" s="1"/>
  <c r="CD13" i="8" s="1"/>
  <c r="CI13" i="8" s="1"/>
  <c r="CN13" i="8" s="1"/>
  <c r="CS22" i="8"/>
  <c r="CW22" i="8" s="1"/>
  <c r="CA33" i="8"/>
  <c r="CC33" i="8" s="1"/>
  <c r="CD33" i="8" s="1"/>
  <c r="CI33" i="8" s="1"/>
  <c r="CN33" i="8" s="1"/>
  <c r="CA50" i="8"/>
  <c r="CC50" i="8" s="1"/>
  <c r="CD50" i="8" s="1"/>
  <c r="CI50" i="8" s="1"/>
  <c r="CK50" i="8" s="1"/>
  <c r="CA16" i="8"/>
  <c r="CC16" i="8" s="1"/>
  <c r="CD16" i="8" s="1"/>
  <c r="CI16" i="8" s="1"/>
  <c r="CN16" i="8" s="1"/>
  <c r="CR25" i="8"/>
  <c r="CS35" i="8"/>
  <c r="CW35" i="8" s="1"/>
  <c r="CA40" i="8"/>
  <c r="CC40" i="8" s="1"/>
  <c r="CD40" i="8" s="1"/>
  <c r="CI40" i="8" s="1"/>
  <c r="CN40" i="8" s="1"/>
  <c r="CA53" i="8"/>
  <c r="CC53" i="8" s="1"/>
  <c r="CD53" i="8" s="1"/>
  <c r="CI53" i="8" s="1"/>
  <c r="CK53" i="8" s="1"/>
  <c r="CA9" i="8"/>
  <c r="CA26" i="8"/>
  <c r="CC26" i="8" s="1"/>
  <c r="CD26" i="8" s="1"/>
  <c r="CI26" i="8" s="1"/>
  <c r="CN26" i="8" s="1"/>
  <c r="CA36" i="8"/>
  <c r="CC36" i="8" s="1"/>
  <c r="CD36" i="8" s="1"/>
  <c r="CI36" i="8" s="1"/>
  <c r="CN36" i="8" s="1"/>
  <c r="CA43" i="8"/>
  <c r="CC43" i="8" s="1"/>
  <c r="CD43" i="8" s="1"/>
  <c r="CI43" i="8" s="1"/>
  <c r="CN43" i="8" s="1"/>
  <c r="CR55" i="8"/>
  <c r="CC27" i="8"/>
  <c r="CD27" i="8" s="1"/>
  <c r="CI27" i="8" s="1"/>
  <c r="CK27" i="8" s="1"/>
  <c r="CC44" i="8"/>
  <c r="CD44" i="8" s="1"/>
  <c r="CI44" i="8" s="1"/>
  <c r="CK44" i="8" s="1"/>
  <c r="CA22" i="8"/>
  <c r="CC22" i="8" s="1"/>
  <c r="CD22" i="8" s="1"/>
  <c r="CI22" i="8" s="1"/>
  <c r="CK22" i="8" s="1"/>
  <c r="CA29" i="8"/>
  <c r="CC29" i="8" s="1"/>
  <c r="CD29" i="8" s="1"/>
  <c r="CI29" i="8" s="1"/>
  <c r="CK29" i="8" s="1"/>
  <c r="CA46" i="8"/>
  <c r="CC46" i="8" s="1"/>
  <c r="CD46" i="8" s="1"/>
  <c r="CI46" i="8" s="1"/>
  <c r="CK46" i="8" s="1"/>
  <c r="CS55" i="8"/>
  <c r="CW55" i="8" s="1"/>
  <c r="CK55" i="8"/>
  <c r="CN55" i="8"/>
  <c r="CN54" i="8"/>
  <c r="CR54" i="8"/>
  <c r="CS54" i="8"/>
  <c r="CW54" i="8" s="1"/>
  <c r="CR53" i="8"/>
  <c r="CS53" i="8"/>
  <c r="CW53" i="8" s="1"/>
  <c r="CS52" i="8"/>
  <c r="CW52" i="8" s="1"/>
  <c r="CT52" i="8"/>
  <c r="CX52" i="8" s="1"/>
  <c r="CS51" i="8"/>
  <c r="CW51" i="8" s="1"/>
  <c r="CR50" i="8"/>
  <c r="CS50" i="8"/>
  <c r="CW50" i="8" s="1"/>
  <c r="CN49" i="8"/>
  <c r="CK49" i="8"/>
  <c r="CT49" i="8"/>
  <c r="CX49" i="8" s="1"/>
  <c r="CR49" i="8"/>
  <c r="CN48" i="8"/>
  <c r="CK48" i="8"/>
  <c r="CR48" i="8"/>
  <c r="CS48" i="8"/>
  <c r="CW48" i="8" s="1"/>
  <c r="CR47" i="8"/>
  <c r="CS47" i="8"/>
  <c r="CW47" i="8" s="1"/>
  <c r="CS46" i="8"/>
  <c r="CW46" i="8" s="1"/>
  <c r="CT46" i="8"/>
  <c r="CX46" i="8" s="1"/>
  <c r="CT45" i="8"/>
  <c r="CX45" i="8" s="1"/>
  <c r="CR45" i="8"/>
  <c r="CR44" i="8"/>
  <c r="CS44" i="8"/>
  <c r="CW44" i="8" s="1"/>
  <c r="CR43" i="8"/>
  <c r="CS43" i="8"/>
  <c r="CW43" i="8" s="1"/>
  <c r="CS42" i="8"/>
  <c r="CW42" i="8" s="1"/>
  <c r="CT42" i="8"/>
  <c r="CX42" i="8" s="1"/>
  <c r="CN41" i="8"/>
  <c r="CK41" i="8"/>
  <c r="CR41" i="8"/>
  <c r="CS41" i="8"/>
  <c r="CW41" i="8" s="1"/>
  <c r="CR40" i="8"/>
  <c r="CS40" i="8"/>
  <c r="CW40" i="8" s="1"/>
  <c r="CT39" i="8"/>
  <c r="CX39" i="8" s="1"/>
  <c r="CR39" i="8"/>
  <c r="CN38" i="8"/>
  <c r="CK38" i="8"/>
  <c r="CR38" i="8"/>
  <c r="CS38" i="8"/>
  <c r="CW38" i="8" s="1"/>
  <c r="CN37" i="8"/>
  <c r="CR37" i="8"/>
  <c r="CS37" i="8"/>
  <c r="CW37" i="8" s="1"/>
  <c r="CR34" i="8"/>
  <c r="CS34" i="8"/>
  <c r="CW34" i="8" s="1"/>
  <c r="CK33" i="8"/>
  <c r="CS33" i="8"/>
  <c r="CW33" i="8" s="1"/>
  <c r="CT33" i="8"/>
  <c r="CX33" i="8" s="1"/>
  <c r="CR32" i="8"/>
  <c r="CS32" i="8"/>
  <c r="CW32" i="8" s="1"/>
  <c r="CN31" i="8"/>
  <c r="CK31" i="8"/>
  <c r="CR31" i="8"/>
  <c r="CS31" i="8"/>
  <c r="CW31" i="8" s="1"/>
  <c r="CR30" i="8"/>
  <c r="CS30" i="8"/>
  <c r="CW30" i="8" s="1"/>
  <c r="CR29" i="8"/>
  <c r="CS29" i="8"/>
  <c r="CW29" i="8" s="1"/>
  <c r="CK28" i="8"/>
  <c r="CS28" i="8"/>
  <c r="CW28" i="8" s="1"/>
  <c r="CT28" i="8"/>
  <c r="CX28" i="8" s="1"/>
  <c r="CR27" i="8"/>
  <c r="CS27" i="8"/>
  <c r="CW27" i="8" s="1"/>
  <c r="CR26" i="8"/>
  <c r="CS26" i="8"/>
  <c r="CW26" i="8" s="1"/>
  <c r="CS25" i="8"/>
  <c r="CW25" i="8" s="1"/>
  <c r="CR24" i="8"/>
  <c r="CS24" i="8"/>
  <c r="CW24" i="8" s="1"/>
  <c r="CS23" i="8"/>
  <c r="CW23" i="8" s="1"/>
  <c r="CR23" i="8"/>
  <c r="CK21" i="8"/>
  <c r="CN21" i="8"/>
  <c r="CS21" i="8"/>
  <c r="CW21" i="8" s="1"/>
  <c r="CT21" i="8"/>
  <c r="CX21" i="8" s="1"/>
  <c r="CR20" i="8"/>
  <c r="CS20" i="8"/>
  <c r="CW20" i="8" s="1"/>
  <c r="CR19" i="8"/>
  <c r="CS19" i="8"/>
  <c r="CW19" i="8" s="1"/>
  <c r="CK18" i="8"/>
  <c r="CN18" i="8"/>
  <c r="CS18" i="8"/>
  <c r="CW18" i="8" s="1"/>
  <c r="CT18" i="8"/>
  <c r="CX18" i="8" s="1"/>
  <c r="CK17" i="8"/>
  <c r="CN17" i="8"/>
  <c r="CR17" i="8"/>
  <c r="CS17" i="8"/>
  <c r="CW17" i="8" s="1"/>
  <c r="CR16" i="8"/>
  <c r="CS16" i="8"/>
  <c r="CW16" i="8" s="1"/>
  <c r="CN15" i="8"/>
  <c r="CK15" i="8"/>
  <c r="CS15" i="8"/>
  <c r="CW15" i="8" s="1"/>
  <c r="CR14" i="8"/>
  <c r="CS14" i="8"/>
  <c r="CW14" i="8" s="1"/>
  <c r="CR13" i="8"/>
  <c r="CS13" i="8"/>
  <c r="CW13" i="8" s="1"/>
  <c r="CN12" i="8"/>
  <c r="CK12" i="8"/>
  <c r="CR12" i="8"/>
  <c r="CS12" i="8"/>
  <c r="CW12" i="8" s="1"/>
  <c r="CN11" i="8"/>
  <c r="CS11" i="8"/>
  <c r="CW11" i="8" s="1"/>
  <c r="CT11" i="8"/>
  <c r="CX11" i="8" s="1"/>
  <c r="CK10" i="8"/>
  <c r="CN10" i="8"/>
  <c r="CR10" i="8"/>
  <c r="CS10" i="8"/>
  <c r="CW10" i="8" s="1"/>
  <c r="CR9" i="8"/>
  <c r="CS9" i="8"/>
  <c r="CW9" i="8" s="1"/>
  <c r="CS8" i="8"/>
  <c r="CW8" i="8" s="1"/>
  <c r="CT8" i="8"/>
  <c r="CX8" i="8" s="1"/>
  <c r="CR7" i="8"/>
  <c r="CS7" i="8"/>
  <c r="CW7" i="8" s="1"/>
  <c r="CK16" i="8" l="1"/>
  <c r="CN29" i="8"/>
  <c r="CK13" i="8"/>
  <c r="CN45" i="8"/>
  <c r="CV45" i="8" s="1"/>
  <c r="CK45" i="12" s="1"/>
  <c r="CN32" i="8"/>
  <c r="CK7" i="8"/>
  <c r="CN20" i="8"/>
  <c r="CK20" i="8"/>
  <c r="CK39" i="8"/>
  <c r="CN8" i="8"/>
  <c r="CK35" i="8"/>
  <c r="CN46" i="8"/>
  <c r="CK14" i="8"/>
  <c r="CK34" i="8"/>
  <c r="CK51" i="8"/>
  <c r="CK19" i="8"/>
  <c r="CK47" i="8"/>
  <c r="CK42" i="8"/>
  <c r="CN53" i="8"/>
  <c r="CV53" i="8" s="1"/>
  <c r="CK53" i="12" s="1"/>
  <c r="CN27" i="8"/>
  <c r="CV27" i="8" s="1"/>
  <c r="CK27" i="12" s="1"/>
  <c r="CN52" i="8"/>
  <c r="CP52" i="8" s="1"/>
  <c r="CN22" i="8"/>
  <c r="CV22" i="8" s="1"/>
  <c r="CK22" i="12" s="1"/>
  <c r="CK43" i="8"/>
  <c r="CN24" i="8"/>
  <c r="CV24" i="8" s="1"/>
  <c r="CK24" i="12" s="1"/>
  <c r="CN25" i="8"/>
  <c r="CV25" i="8" s="1"/>
  <c r="CK25" i="12" s="1"/>
  <c r="CN50" i="8"/>
  <c r="CP50" i="8" s="1"/>
  <c r="CC9" i="8"/>
  <c r="B28" i="13"/>
  <c r="CK26" i="8"/>
  <c r="CN30" i="8"/>
  <c r="CP30" i="8" s="1"/>
  <c r="CK36" i="8"/>
  <c r="CK40" i="8"/>
  <c r="CN44" i="8"/>
  <c r="CP44" i="8" s="1"/>
  <c r="CN23" i="8"/>
  <c r="CP23" i="8" s="1"/>
  <c r="CV55" i="8"/>
  <c r="CK55" i="12" s="1"/>
  <c r="CP55" i="8"/>
  <c r="CV54" i="8"/>
  <c r="CK54" i="12" s="1"/>
  <c r="CP54" i="8"/>
  <c r="CV51" i="8"/>
  <c r="CK51" i="12" s="1"/>
  <c r="CP51" i="8"/>
  <c r="CV49" i="8"/>
  <c r="CK49" i="12" s="1"/>
  <c r="CP49" i="8"/>
  <c r="CV48" i="8"/>
  <c r="CK48" i="12" s="1"/>
  <c r="CP48" i="8"/>
  <c r="CV47" i="8"/>
  <c r="CK47" i="12" s="1"/>
  <c r="CP47" i="8"/>
  <c r="CP46" i="8"/>
  <c r="CV46" i="8"/>
  <c r="CK46" i="12" s="1"/>
  <c r="CV43" i="8"/>
  <c r="CK43" i="12" s="1"/>
  <c r="CP43" i="8"/>
  <c r="CV42" i="8"/>
  <c r="CK42" i="12" s="1"/>
  <c r="CP42" i="8"/>
  <c r="CV41" i="8"/>
  <c r="CK41" i="12" s="1"/>
  <c r="CP41" i="8"/>
  <c r="CP40" i="8"/>
  <c r="CV40" i="8"/>
  <c r="CK40" i="12" s="1"/>
  <c r="CV39" i="8"/>
  <c r="CK39" i="12" s="1"/>
  <c r="CP39" i="8"/>
  <c r="CV38" i="8"/>
  <c r="CK38" i="12" s="1"/>
  <c r="CP38" i="8"/>
  <c r="CV37" i="8"/>
  <c r="CK37" i="12" s="1"/>
  <c r="CP37" i="8"/>
  <c r="CV36" i="8"/>
  <c r="CK36" i="12" s="1"/>
  <c r="CP36" i="8"/>
  <c r="CV35" i="8"/>
  <c r="CK35" i="12" s="1"/>
  <c r="CP35" i="8"/>
  <c r="CV34" i="8"/>
  <c r="CK34" i="12" s="1"/>
  <c r="CP34" i="8"/>
  <c r="CV33" i="8"/>
  <c r="CK33" i="12" s="1"/>
  <c r="CP33" i="8"/>
  <c r="CV32" i="8"/>
  <c r="CK32" i="12" s="1"/>
  <c r="CP32" i="8"/>
  <c r="CV31" i="8"/>
  <c r="CK31" i="12" s="1"/>
  <c r="CP31" i="8"/>
  <c r="CV29" i="8"/>
  <c r="CK29" i="12" s="1"/>
  <c r="CP29" i="8"/>
  <c r="CV28" i="8"/>
  <c r="CK28" i="12" s="1"/>
  <c r="CP28" i="8"/>
  <c r="CP27" i="8"/>
  <c r="CV26" i="8"/>
  <c r="CK26" i="12" s="1"/>
  <c r="CP26" i="8"/>
  <c r="CV23" i="8"/>
  <c r="CK23" i="12" s="1"/>
  <c r="CV21" i="8"/>
  <c r="CK21" i="12" s="1"/>
  <c r="CP21" i="8"/>
  <c r="CV20" i="8"/>
  <c r="CK20" i="12" s="1"/>
  <c r="CP20" i="8"/>
  <c r="CV19" i="8"/>
  <c r="CK19" i="12" s="1"/>
  <c r="CP19" i="8"/>
  <c r="CV18" i="8"/>
  <c r="CK18" i="12" s="1"/>
  <c r="CP18" i="8"/>
  <c r="CV17" i="8"/>
  <c r="CK17" i="12" s="1"/>
  <c r="CP17" i="8"/>
  <c r="CV16" i="8"/>
  <c r="CK16" i="12" s="1"/>
  <c r="CP16" i="8"/>
  <c r="CV15" i="8"/>
  <c r="CK15" i="12" s="1"/>
  <c r="CP15" i="8"/>
  <c r="CV14" i="8"/>
  <c r="CK14" i="12" s="1"/>
  <c r="CP14" i="8"/>
  <c r="CV13" i="8"/>
  <c r="CK13" i="12" s="1"/>
  <c r="CP13" i="8"/>
  <c r="CV12" i="8"/>
  <c r="CK12" i="12" s="1"/>
  <c r="CP12" i="8"/>
  <c r="CV11" i="8"/>
  <c r="CK11" i="12" s="1"/>
  <c r="CP11" i="8"/>
  <c r="CV10" i="8"/>
  <c r="CK10" i="12" s="1"/>
  <c r="CP10" i="8"/>
  <c r="CP8" i="8"/>
  <c r="CV8" i="8"/>
  <c r="CK8" i="12" s="1"/>
  <c r="CP7" i="8"/>
  <c r="CV7" i="8"/>
  <c r="CK7" i="12" s="1"/>
  <c r="CE8" i="12"/>
  <c r="CE9" i="12"/>
  <c r="CE10" i="12"/>
  <c r="CE11" i="12"/>
  <c r="CE12" i="12"/>
  <c r="CE13" i="12"/>
  <c r="CE14" i="12"/>
  <c r="CE15" i="12"/>
  <c r="CE16" i="12"/>
  <c r="CE17" i="12"/>
  <c r="CE18" i="12"/>
  <c r="CE19" i="12"/>
  <c r="CE20" i="12"/>
  <c r="CE21" i="12"/>
  <c r="CE22" i="12"/>
  <c r="CE23" i="12"/>
  <c r="CE24" i="12"/>
  <c r="CE25" i="12"/>
  <c r="CE26" i="12"/>
  <c r="CE27" i="12"/>
  <c r="CE28" i="12"/>
  <c r="CE29" i="12"/>
  <c r="CE30" i="12"/>
  <c r="CE31" i="12"/>
  <c r="CE32" i="12"/>
  <c r="CE33" i="12"/>
  <c r="CE34" i="12"/>
  <c r="CE35" i="12"/>
  <c r="CE36" i="12"/>
  <c r="CE37" i="12"/>
  <c r="CE38" i="12"/>
  <c r="CE39" i="12"/>
  <c r="CE40" i="12"/>
  <c r="CE41" i="12"/>
  <c r="CE42" i="12"/>
  <c r="CE43" i="12"/>
  <c r="CE44" i="12"/>
  <c r="CE45" i="12"/>
  <c r="CE46" i="12"/>
  <c r="CE47" i="12"/>
  <c r="CE48" i="12"/>
  <c r="CE49" i="12"/>
  <c r="CE50" i="12"/>
  <c r="CE51" i="12"/>
  <c r="CE52" i="12"/>
  <c r="CE53" i="12"/>
  <c r="CE54" i="12"/>
  <c r="CE55" i="12"/>
  <c r="CP24" i="8" l="1"/>
  <c r="CP45" i="8"/>
  <c r="CP53" i="8"/>
  <c r="CP22" i="8"/>
  <c r="CP25" i="8"/>
  <c r="CV50" i="8"/>
  <c r="CK50" i="12" s="1"/>
  <c r="CV52" i="8"/>
  <c r="CK52" i="12" s="1"/>
  <c r="CV44" i="8"/>
  <c r="CK44" i="12" s="1"/>
  <c r="CV30" i="8"/>
  <c r="CK30" i="12" s="1"/>
  <c r="CD9" i="8"/>
  <c r="CI9" i="8" s="1"/>
  <c r="E28" i="13"/>
  <c r="CK9" i="8" l="1"/>
  <c r="CN9" i="8"/>
  <c r="CV9" i="8" l="1"/>
  <c r="CK9" i="12" s="1"/>
  <c r="CP9" i="8"/>
  <c r="H28" i="13" s="1"/>
  <c r="F28" i="13"/>
  <c r="CF54" i="12" l="1"/>
  <c r="CG54" i="12" s="1"/>
  <c r="CF55" i="12"/>
  <c r="CH55" i="12" s="1"/>
  <c r="BZ55" i="12"/>
  <c r="BY55" i="12"/>
  <c r="BX55" i="12"/>
  <c r="BW55" i="12"/>
  <c r="BZ54" i="12"/>
  <c r="BY54" i="12"/>
  <c r="BX54" i="12"/>
  <c r="BW54" i="12"/>
  <c r="CE7" i="12"/>
  <c r="CA54" i="12" l="1"/>
  <c r="CB54" i="12" s="1"/>
  <c r="CD54" i="12" s="1"/>
  <c r="CA55" i="12"/>
  <c r="CB55" i="12" s="1"/>
  <c r="CD55" i="12" s="1"/>
  <c r="CH54" i="12"/>
  <c r="CG55" i="12"/>
  <c r="CF8" i="12" l="1"/>
  <c r="CH8" i="12" s="1"/>
  <c r="CF9" i="12"/>
  <c r="CF10" i="12"/>
  <c r="CF11" i="12"/>
  <c r="CH11" i="12" s="1"/>
  <c r="CF12" i="12"/>
  <c r="CF13" i="12"/>
  <c r="CF14" i="12"/>
  <c r="CF15" i="12"/>
  <c r="CF16" i="12"/>
  <c r="CF17" i="12"/>
  <c r="CF18" i="12"/>
  <c r="CF19" i="12"/>
  <c r="CF20" i="12"/>
  <c r="CH20" i="12" s="1"/>
  <c r="CF21" i="12"/>
  <c r="CF22" i="12"/>
  <c r="CF23" i="12"/>
  <c r="CF24" i="12"/>
  <c r="CF25" i="12"/>
  <c r="CF26" i="12"/>
  <c r="CF27" i="12"/>
  <c r="CF28" i="12"/>
  <c r="CF29" i="12"/>
  <c r="CF30" i="12"/>
  <c r="CF31" i="12"/>
  <c r="CF32" i="12"/>
  <c r="CH32" i="12" s="1"/>
  <c r="CF33" i="12"/>
  <c r="CF34" i="12"/>
  <c r="CF35" i="12"/>
  <c r="CF36" i="12"/>
  <c r="CF37" i="12"/>
  <c r="CF38" i="12"/>
  <c r="CF39" i="12"/>
  <c r="CF40" i="12"/>
  <c r="CF41" i="12"/>
  <c r="CF42" i="12"/>
  <c r="CF43" i="12"/>
  <c r="CF44" i="12"/>
  <c r="CF45" i="12"/>
  <c r="CF46" i="12"/>
  <c r="CH46" i="12" s="1"/>
  <c r="CF47" i="12"/>
  <c r="CH47" i="12" s="1"/>
  <c r="CF48" i="12"/>
  <c r="CF49" i="12"/>
  <c r="CF50" i="12"/>
  <c r="CF51" i="12"/>
  <c r="CF52" i="12"/>
  <c r="CF53" i="12"/>
  <c r="BZ53" i="12"/>
  <c r="BY53" i="12"/>
  <c r="BX53" i="12"/>
  <c r="BW53" i="12"/>
  <c r="BZ52" i="12"/>
  <c r="BY52" i="12"/>
  <c r="BX52" i="12"/>
  <c r="BW52" i="12"/>
  <c r="I26" i="13"/>
  <c r="H26" i="13"/>
  <c r="G26" i="13"/>
  <c r="F26" i="13"/>
  <c r="E26" i="13"/>
  <c r="D26" i="13"/>
  <c r="C26" i="13"/>
  <c r="B26" i="13"/>
  <c r="CF7" i="12"/>
  <c r="BZ51" i="12"/>
  <c r="BY51" i="12"/>
  <c r="BX51" i="12"/>
  <c r="BW51" i="12"/>
  <c r="BZ50" i="12"/>
  <c r="BY50" i="12"/>
  <c r="BX50" i="12"/>
  <c r="BW50" i="12"/>
  <c r="BZ49" i="12"/>
  <c r="BY49" i="12"/>
  <c r="BX49" i="12"/>
  <c r="BW49" i="12"/>
  <c r="BZ48" i="12"/>
  <c r="BY48" i="12"/>
  <c r="BX48" i="12"/>
  <c r="BW48" i="12"/>
  <c r="BZ47" i="12"/>
  <c r="BY47" i="12"/>
  <c r="BX47" i="12"/>
  <c r="BW47" i="12"/>
  <c r="BZ46" i="12"/>
  <c r="BY46" i="12"/>
  <c r="BX46" i="12"/>
  <c r="BW46" i="12"/>
  <c r="BZ45" i="12"/>
  <c r="BY45" i="12"/>
  <c r="BX45" i="12"/>
  <c r="BW45" i="12"/>
  <c r="BZ44" i="12"/>
  <c r="BY44" i="12"/>
  <c r="BX44" i="12"/>
  <c r="BW44" i="12"/>
  <c r="BZ43" i="12"/>
  <c r="BY43" i="12"/>
  <c r="BX43" i="12"/>
  <c r="BW43" i="12"/>
  <c r="BZ42" i="12"/>
  <c r="BY42" i="12"/>
  <c r="BX42" i="12"/>
  <c r="BW42" i="12"/>
  <c r="BZ41" i="12"/>
  <c r="BY41" i="12"/>
  <c r="BX41" i="12"/>
  <c r="BW41" i="12"/>
  <c r="BZ40" i="12"/>
  <c r="BY40" i="12"/>
  <c r="BX40" i="12"/>
  <c r="BW40" i="12"/>
  <c r="BZ39" i="12"/>
  <c r="BY39" i="12"/>
  <c r="BX39" i="12"/>
  <c r="BW39" i="12"/>
  <c r="BZ38" i="12"/>
  <c r="BY38" i="12"/>
  <c r="BX38" i="12"/>
  <c r="BW38" i="12"/>
  <c r="BZ37" i="12"/>
  <c r="BY37" i="12"/>
  <c r="BX37" i="12"/>
  <c r="BW37" i="12"/>
  <c r="BZ36" i="12"/>
  <c r="BY36" i="12"/>
  <c r="BX36" i="12"/>
  <c r="BW36" i="12"/>
  <c r="BZ35" i="12"/>
  <c r="BY35" i="12"/>
  <c r="BX35" i="12"/>
  <c r="BW35" i="12"/>
  <c r="BZ34" i="12"/>
  <c r="BY34" i="12"/>
  <c r="BX34" i="12"/>
  <c r="BW34" i="12"/>
  <c r="BZ33" i="12"/>
  <c r="BY33" i="12"/>
  <c r="BX33" i="12"/>
  <c r="BW33" i="12"/>
  <c r="BZ32" i="12"/>
  <c r="BY32" i="12"/>
  <c r="BX32" i="12"/>
  <c r="BW32" i="12"/>
  <c r="BZ31" i="12"/>
  <c r="BY31" i="12"/>
  <c r="BX31" i="12"/>
  <c r="BW31" i="12"/>
  <c r="BZ30" i="12"/>
  <c r="BY30" i="12"/>
  <c r="BX30" i="12"/>
  <c r="BW30" i="12"/>
  <c r="BZ29" i="12"/>
  <c r="BY29" i="12"/>
  <c r="BX29" i="12"/>
  <c r="BW29" i="12"/>
  <c r="BZ28" i="12"/>
  <c r="BY28" i="12"/>
  <c r="BX28" i="12"/>
  <c r="BW28" i="12"/>
  <c r="BZ27" i="12"/>
  <c r="BY27" i="12"/>
  <c r="BX27" i="12"/>
  <c r="BW27" i="12"/>
  <c r="BZ26" i="12"/>
  <c r="BY26" i="12"/>
  <c r="BX26" i="12"/>
  <c r="BW26" i="12"/>
  <c r="BZ25" i="12"/>
  <c r="BY25" i="12"/>
  <c r="BX25" i="12"/>
  <c r="BW25" i="12"/>
  <c r="BZ24" i="12"/>
  <c r="BY24" i="12"/>
  <c r="BX24" i="12"/>
  <c r="BW24" i="12"/>
  <c r="BZ23" i="12"/>
  <c r="BY23" i="12"/>
  <c r="BX23" i="12"/>
  <c r="BW23" i="12"/>
  <c r="BZ22" i="12"/>
  <c r="BY22" i="12"/>
  <c r="BX22" i="12"/>
  <c r="BW22" i="12"/>
  <c r="BZ21" i="12"/>
  <c r="BY21" i="12"/>
  <c r="BX21" i="12"/>
  <c r="BW21" i="12"/>
  <c r="BZ20" i="12"/>
  <c r="BY20" i="12"/>
  <c r="BX20" i="12"/>
  <c r="BW20" i="12"/>
  <c r="BZ19" i="12"/>
  <c r="BY19" i="12"/>
  <c r="BX19" i="12"/>
  <c r="BW19" i="12"/>
  <c r="BZ18" i="12"/>
  <c r="BY18" i="12"/>
  <c r="BX18" i="12"/>
  <c r="BW18" i="12"/>
  <c r="BZ17" i="12"/>
  <c r="BY17" i="12"/>
  <c r="BX17" i="12"/>
  <c r="BW17" i="12"/>
  <c r="BZ16" i="12"/>
  <c r="BY16" i="12"/>
  <c r="BX16" i="12"/>
  <c r="BW16" i="12"/>
  <c r="BZ15" i="12"/>
  <c r="BY15" i="12"/>
  <c r="BX15" i="12"/>
  <c r="BW15" i="12"/>
  <c r="BZ14" i="12"/>
  <c r="BY14" i="12"/>
  <c r="BX14" i="12"/>
  <c r="BW14" i="12"/>
  <c r="BZ13" i="12"/>
  <c r="BY13" i="12"/>
  <c r="BX13" i="12"/>
  <c r="BW13" i="12"/>
  <c r="BZ12" i="12"/>
  <c r="BY12" i="12"/>
  <c r="BX12" i="12"/>
  <c r="BW12" i="12"/>
  <c r="BZ11" i="12"/>
  <c r="BY11" i="12"/>
  <c r="BX11" i="12"/>
  <c r="BW11" i="12"/>
  <c r="BZ10" i="12"/>
  <c r="BY10" i="12"/>
  <c r="BX10" i="12"/>
  <c r="BW10" i="12"/>
  <c r="BZ9" i="12"/>
  <c r="BY9" i="12"/>
  <c r="BX9" i="12"/>
  <c r="BW9" i="12"/>
  <c r="BZ8" i="12"/>
  <c r="BY8" i="12"/>
  <c r="BX8" i="12"/>
  <c r="BW8" i="12"/>
  <c r="BZ7" i="12"/>
  <c r="BY7" i="12"/>
  <c r="BX7" i="12"/>
  <c r="BW7" i="12"/>
  <c r="CG20" i="12" l="1"/>
  <c r="I28" i="14"/>
  <c r="J28" i="14"/>
  <c r="H28" i="14"/>
  <c r="CH7" i="12"/>
  <c r="CG11" i="12"/>
  <c r="CL55" i="12"/>
  <c r="CG32" i="12"/>
  <c r="CG53" i="12"/>
  <c r="CH53" i="12"/>
  <c r="CG39" i="12"/>
  <c r="CH39" i="12"/>
  <c r="CG24" i="12"/>
  <c r="CH24" i="12"/>
  <c r="CG10" i="12"/>
  <c r="CH10" i="12"/>
  <c r="CG52" i="12"/>
  <c r="CH52" i="12"/>
  <c r="CG38" i="12"/>
  <c r="CH38" i="12"/>
  <c r="CG23" i="12"/>
  <c r="CH23" i="12"/>
  <c r="CG9" i="12"/>
  <c r="CH9" i="12"/>
  <c r="CG51" i="12"/>
  <c r="CH51" i="12"/>
  <c r="CG37" i="12"/>
  <c r="CH37" i="12"/>
  <c r="CG22" i="12"/>
  <c r="CH22" i="12"/>
  <c r="CG8" i="12"/>
  <c r="CG31" i="12"/>
  <c r="CH31" i="12"/>
  <c r="CG16" i="12"/>
  <c r="CH16" i="12"/>
  <c r="CG45" i="12"/>
  <c r="CH45" i="12"/>
  <c r="CG30" i="12"/>
  <c r="CH30" i="12"/>
  <c r="CG15" i="12"/>
  <c r="CH15" i="12"/>
  <c r="CG44" i="12"/>
  <c r="CH44" i="12"/>
  <c r="CG29" i="12"/>
  <c r="CH29" i="12"/>
  <c r="CG14" i="12"/>
  <c r="CH14" i="12"/>
  <c r="CG43" i="12"/>
  <c r="CH43" i="12"/>
  <c r="CG28" i="12"/>
  <c r="CH28" i="12"/>
  <c r="CG13" i="12"/>
  <c r="CH13" i="12"/>
  <c r="CG42" i="12"/>
  <c r="CH42" i="12"/>
  <c r="CG27" i="12"/>
  <c r="CH27" i="12"/>
  <c r="CG12" i="12"/>
  <c r="CH12" i="12"/>
  <c r="CG41" i="12"/>
  <c r="CH41" i="12"/>
  <c r="CG26" i="12"/>
  <c r="CH26" i="12"/>
  <c r="CG48" i="12"/>
  <c r="CH48" i="12"/>
  <c r="CG34" i="12"/>
  <c r="CH34" i="12"/>
  <c r="CG25" i="12"/>
  <c r="CH25" i="12"/>
  <c r="CG36" i="12"/>
  <c r="CH36" i="12"/>
  <c r="CG35" i="12"/>
  <c r="CH35" i="12"/>
  <c r="CG47" i="12"/>
  <c r="CG33" i="12"/>
  <c r="CH33" i="12"/>
  <c r="CG19" i="12"/>
  <c r="CH19" i="12"/>
  <c r="CG21" i="12"/>
  <c r="CH21" i="12"/>
  <c r="CG18" i="12"/>
  <c r="CH18" i="12"/>
  <c r="CG40" i="12"/>
  <c r="CH40" i="12"/>
  <c r="CG50" i="12"/>
  <c r="CH50" i="12"/>
  <c r="CG49" i="12"/>
  <c r="CH49" i="12"/>
  <c r="CG46" i="12"/>
  <c r="CG17" i="12"/>
  <c r="CH17" i="12"/>
  <c r="CA53" i="12"/>
  <c r="CB53" i="12" s="1"/>
  <c r="CD53" i="12" s="1"/>
  <c r="CA52" i="12"/>
  <c r="CB52" i="12" s="1"/>
  <c r="CD52" i="12" s="1"/>
  <c r="CG7" i="12"/>
  <c r="CA12" i="12"/>
  <c r="CB12" i="12" s="1"/>
  <c r="CD12" i="12" s="1"/>
  <c r="CA28" i="12"/>
  <c r="CB28" i="12" s="1"/>
  <c r="CD28" i="12" s="1"/>
  <c r="CA44" i="12"/>
  <c r="CB44" i="12" s="1"/>
  <c r="CD44" i="12" s="1"/>
  <c r="CA17" i="12"/>
  <c r="CB17" i="12" s="1"/>
  <c r="CD17" i="12" s="1"/>
  <c r="CA33" i="12"/>
  <c r="CB33" i="12" s="1"/>
  <c r="CD33" i="12" s="1"/>
  <c r="CA49" i="12"/>
  <c r="CB49" i="12" s="1"/>
  <c r="CD49" i="12" s="1"/>
  <c r="CA13" i="12"/>
  <c r="CB13" i="12" s="1"/>
  <c r="CD13" i="12" s="1"/>
  <c r="CA29" i="12"/>
  <c r="CB29" i="12" s="1"/>
  <c r="CD29" i="12" s="1"/>
  <c r="CA45" i="12"/>
  <c r="CB45" i="12" s="1"/>
  <c r="CD45" i="12" s="1"/>
  <c r="CA14" i="12"/>
  <c r="CB14" i="12" s="1"/>
  <c r="CD14" i="12" s="1"/>
  <c r="CA30" i="12"/>
  <c r="CB30" i="12" s="1"/>
  <c r="CD30" i="12" s="1"/>
  <c r="CA46" i="12"/>
  <c r="CB46" i="12" s="1"/>
  <c r="CD46" i="12" s="1"/>
  <c r="CA19" i="12"/>
  <c r="CB19" i="12" s="1"/>
  <c r="CD19" i="12" s="1"/>
  <c r="CA35" i="12"/>
  <c r="CB35" i="12" s="1"/>
  <c r="CD35" i="12" s="1"/>
  <c r="CA51" i="12"/>
  <c r="CB51" i="12" s="1"/>
  <c r="CD51" i="12" s="1"/>
  <c r="CA50" i="12"/>
  <c r="CB50" i="12" s="1"/>
  <c r="CD50" i="12" s="1"/>
  <c r="CA7" i="12"/>
  <c r="CB7" i="12" s="1"/>
  <c r="CA23" i="12"/>
  <c r="CB23" i="12" s="1"/>
  <c r="CD23" i="12" s="1"/>
  <c r="CA8" i="12"/>
  <c r="CB8" i="12" s="1"/>
  <c r="CD8" i="12" s="1"/>
  <c r="CA38" i="12"/>
  <c r="CB38" i="12" s="1"/>
  <c r="CD38" i="12" s="1"/>
  <c r="CA10" i="12"/>
  <c r="CB10" i="12" s="1"/>
  <c r="CD10" i="12" s="1"/>
  <c r="CA20" i="12"/>
  <c r="CB20" i="12" s="1"/>
  <c r="CD20" i="12" s="1"/>
  <c r="CA26" i="12"/>
  <c r="CB26" i="12" s="1"/>
  <c r="CD26" i="12" s="1"/>
  <c r="CA36" i="12"/>
  <c r="CB36" i="12" s="1"/>
  <c r="CD36" i="12" s="1"/>
  <c r="CA42" i="12"/>
  <c r="CB42" i="12" s="1"/>
  <c r="CD42" i="12" s="1"/>
  <c r="CA18" i="12"/>
  <c r="CB18" i="12" s="1"/>
  <c r="CD18" i="12" s="1"/>
  <c r="CA34" i="12"/>
  <c r="CB34" i="12" s="1"/>
  <c r="CD34" i="12" s="1"/>
  <c r="CA39" i="12"/>
  <c r="CB39" i="12" s="1"/>
  <c r="CD39" i="12" s="1"/>
  <c r="CA24" i="12"/>
  <c r="CB24" i="12" s="1"/>
  <c r="CD24" i="12" s="1"/>
  <c r="CA40" i="12"/>
  <c r="CB40" i="12" s="1"/>
  <c r="CD40" i="12" s="1"/>
  <c r="CA21" i="12"/>
  <c r="CB21" i="12" s="1"/>
  <c r="CD21" i="12" s="1"/>
  <c r="CA37" i="12"/>
  <c r="CB37" i="12" s="1"/>
  <c r="CD37" i="12" s="1"/>
  <c r="CA22" i="12"/>
  <c r="CB22" i="12" s="1"/>
  <c r="CD22" i="12" s="1"/>
  <c r="CA11" i="12"/>
  <c r="CB11" i="12" s="1"/>
  <c r="CD11" i="12" s="1"/>
  <c r="CA27" i="12"/>
  <c r="CB27" i="12" s="1"/>
  <c r="CD27" i="12" s="1"/>
  <c r="CA43" i="12"/>
  <c r="CB43" i="12" s="1"/>
  <c r="CD43" i="12" s="1"/>
  <c r="CA9" i="12"/>
  <c r="CB9" i="12" s="1"/>
  <c r="CD9" i="12" s="1"/>
  <c r="CA15" i="12"/>
  <c r="CB15" i="12" s="1"/>
  <c r="CD15" i="12" s="1"/>
  <c r="CA25" i="12"/>
  <c r="CB25" i="12" s="1"/>
  <c r="CD25" i="12" s="1"/>
  <c r="CA31" i="12"/>
  <c r="CB31" i="12" s="1"/>
  <c r="CD31" i="12" s="1"/>
  <c r="CA41" i="12"/>
  <c r="CB41" i="12" s="1"/>
  <c r="CD41" i="12" s="1"/>
  <c r="CA47" i="12"/>
  <c r="CB47" i="12" s="1"/>
  <c r="CD47" i="12" s="1"/>
  <c r="CA16" i="12"/>
  <c r="CB16" i="12" s="1"/>
  <c r="CD16" i="12" s="1"/>
  <c r="CA32" i="12"/>
  <c r="CB32" i="12" s="1"/>
  <c r="CD32" i="12" s="1"/>
  <c r="CA48" i="12"/>
  <c r="CB48" i="12" s="1"/>
  <c r="CD48" i="12" s="1"/>
  <c r="BW4" i="12"/>
  <c r="BV4" i="12"/>
  <c r="BX4" i="12"/>
  <c r="BU4" i="12"/>
  <c r="BT4" i="12"/>
  <c r="BZ4" i="12"/>
  <c r="BY4" i="12"/>
  <c r="CL54" i="12" l="1"/>
  <c r="CL25" i="12"/>
  <c r="CL41" i="12"/>
  <c r="CL51" i="12"/>
  <c r="CL53" i="12"/>
  <c r="CL12" i="12"/>
  <c r="CL32" i="12"/>
  <c r="CL30" i="12"/>
  <c r="CL49" i="12"/>
  <c r="CL13" i="12"/>
  <c r="CL11" i="12"/>
  <c r="CA4" i="12"/>
  <c r="CL37" i="12" l="1"/>
  <c r="CL19" i="12"/>
  <c r="CL17" i="12"/>
  <c r="CL14" i="12"/>
  <c r="CL35" i="12"/>
  <c r="CL31" i="12"/>
  <c r="CL47" i="12"/>
  <c r="CL15" i="12"/>
  <c r="CL38" i="12"/>
  <c r="CL10" i="12"/>
  <c r="CL45" i="12"/>
  <c r="CL46" i="12"/>
  <c r="CL9" i="12"/>
  <c r="CL48" i="12"/>
  <c r="CL36" i="12"/>
  <c r="CL52" i="12"/>
  <c r="CL24" i="12"/>
  <c r="CL42" i="12"/>
  <c r="CL44" i="12"/>
  <c r="CL18" i="12"/>
  <c r="CL28" i="12"/>
  <c r="CL16" i="12"/>
  <c r="CL23" i="12"/>
  <c r="CL33" i="12"/>
  <c r="CL26" i="12"/>
  <c r="CL22" i="12"/>
  <c r="CL40" i="12"/>
  <c r="CL29" i="12"/>
  <c r="CL50" i="12"/>
  <c r="CL21" i="12"/>
  <c r="CL34" i="12"/>
  <c r="CL20" i="12"/>
  <c r="CL27" i="12"/>
  <c r="CL39" i="12"/>
  <c r="CL43" i="12"/>
  <c r="CL8" i="12" l="1"/>
  <c r="CM3" i="8"/>
  <c r="CL3" i="8"/>
  <c r="CJ3" i="8"/>
  <c r="CB3" i="8" l="1"/>
  <c r="BU3" i="8"/>
  <c r="C2" i="11" l="1"/>
  <c r="BT3" i="8" l="1"/>
  <c r="BV3" i="8"/>
  <c r="BW3" i="8"/>
  <c r="BX3" i="8"/>
  <c r="BY3" i="8"/>
  <c r="BZ3" i="8"/>
  <c r="CO3" i="8"/>
  <c r="CA3" i="8" l="1"/>
  <c r="CC3" i="8" l="1"/>
  <c r="CI3" i="8" l="1"/>
  <c r="CN3" i="8" l="1"/>
  <c r="CK3" i="8"/>
  <c r="CV3" i="8"/>
  <c r="CP3" i="8" l="1"/>
  <c r="CD7" i="12" l="1"/>
  <c r="CI50" i="12" l="1"/>
  <c r="CI52" i="12"/>
  <c r="CI49" i="12"/>
  <c r="CI45" i="12"/>
  <c r="CL7" i="12"/>
  <c r="CI46" i="12"/>
  <c r="CI25" i="12"/>
  <c r="CI17" i="12"/>
  <c r="CI21" i="12"/>
  <c r="CI42" i="12"/>
  <c r="CI11" i="12"/>
  <c r="CI19" i="12"/>
  <c r="CI16" i="12"/>
  <c r="CI51" i="12"/>
  <c r="CI35" i="12"/>
  <c r="CI28" i="12"/>
  <c r="CI36" i="12"/>
  <c r="CI14" i="12"/>
  <c r="CI26" i="12"/>
  <c r="CI7" i="12"/>
  <c r="CI29" i="12"/>
  <c r="CI53" i="12"/>
  <c r="CI37" i="12"/>
  <c r="CI20" i="12"/>
  <c r="CI34" i="12"/>
  <c r="CB4" i="12"/>
  <c r="CI27" i="12"/>
  <c r="CI40" i="12" l="1"/>
  <c r="CI30" i="12"/>
  <c r="CI9" i="12"/>
  <c r="CI38" i="12"/>
  <c r="CI31" i="12"/>
  <c r="CI48" i="12"/>
  <c r="CI33" i="12"/>
  <c r="CI23" i="12"/>
  <c r="CI43" i="12"/>
  <c r="CI24" i="12"/>
  <c r="CI39" i="12"/>
  <c r="CI22" i="12"/>
  <c r="CI8" i="12"/>
  <c r="CI18" i="12"/>
  <c r="CI32" i="12"/>
  <c r="CI54" i="12"/>
  <c r="CI10" i="12"/>
  <c r="CI13" i="12"/>
  <c r="CI47" i="12"/>
  <c r="CI41" i="12"/>
  <c r="CI44" i="12"/>
  <c r="CI55" i="12"/>
  <c r="CI15" i="12" l="1"/>
  <c r="CC4" i="12"/>
  <c r="CD4" i="12" l="1"/>
  <c r="CI12" i="12"/>
  <c r="CI2" i="12" l="1"/>
  <c r="CH2" i="12" l="1"/>
  <c r="CJ2" i="12"/>
</calcChain>
</file>

<file path=xl/sharedStrings.xml><?xml version="1.0" encoding="utf-8"?>
<sst xmlns="http://schemas.openxmlformats.org/spreadsheetml/2006/main" count="1442" uniqueCount="406">
  <si>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</si>
  <si>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</si>
  <si>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</si>
  <si>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</si>
  <si>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</si>
  <si>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</si>
  <si>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</si>
  <si>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</si>
  <si>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</si>
  <si>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</si>
  <si>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</si>
  <si>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</si>
  <si>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</si>
  <si>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</si>
  <si>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</si>
  <si>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</si>
  <si>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</si>
  <si>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</si>
  <si>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</si>
  <si>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</si>
  <si>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</si>
  <si>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</si>
  <si>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</si>
  <si>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</si>
  <si>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</si>
  <si>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</si>
  <si>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</si>
  <si>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</si>
  <si>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</si>
  <si>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</si>
  <si>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</si>
  <si>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</si>
  <si>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</si>
  <si>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</si>
  <si>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</si>
  <si>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</si>
  <si>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</si>
  <si>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</si>
  <si>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</si>
  <si>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W1199</t>
  </si>
  <si>
    <t>팀 박태준_공통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</si>
  <si>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</si>
  <si>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</si>
  <si>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</si>
  <si>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6" type="noConversion"/>
  </si>
  <si>
    <t>프로젝트</t>
    <phoneticPr fontId="26" type="noConversion"/>
  </si>
  <si>
    <t>팀</t>
    <phoneticPr fontId="26" type="noConversion"/>
  </si>
  <si>
    <t>적요</t>
    <phoneticPr fontId="26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</si>
  <si>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</si>
  <si>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</si>
  <si>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</si>
  <si>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</si>
  <si>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</si>
  <si>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</si>
  <si>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6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</si>
  <si>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</si>
  <si>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</si>
  <si>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</si>
  <si>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</si>
  <si>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</si>
  <si>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</si>
  <si>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</si>
  <si>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</si>
  <si>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</si>
  <si>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</si>
  <si>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</si>
  <si>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</si>
  <si>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</si>
  <si>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</si>
  <si>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</si>
  <si>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</si>
  <si>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</si>
  <si>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</si>
  <si>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</si>
  <si>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</si>
  <si>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</si>
  <si>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</si>
  <si>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</si>
  <si>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</si>
  <si>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</si>
  <si>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</si>
  <si>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</si>
  <si>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</si>
  <si>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</si>
  <si>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</si>
  <si>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</si>
  <si>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</si>
  <si>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</si>
  <si>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</si>
  <si>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</si>
  <si>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</si>
  <si>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</si>
  <si>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</si>
  <si>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</si>
  <si>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한남동케이하우스</t>
  </si>
  <si>
    <t>한남동 케이하우스</t>
  </si>
  <si>
    <t>12세 이상 이용가능</t>
  </si>
  <si>
    <t>fra12392</t>
  </si>
  <si>
    <t>thegrim7!!</t>
  </si>
  <si>
    <t>NO</t>
    <phoneticPr fontId="26" type="noConversion"/>
  </si>
  <si>
    <t>네이버</t>
  </si>
  <si>
    <t>IR작품명</t>
    <phoneticPr fontId="26" type="noConversion"/>
  </si>
  <si>
    <t>인생존망</t>
  </si>
  <si>
    <t>싸움독학</t>
  </si>
  <si>
    <t>김부장</t>
  </si>
  <si>
    <t>욕망일기</t>
  </si>
  <si>
    <t>욕망일기Deep</t>
  </si>
  <si>
    <t>퀘스트지상주의</t>
  </si>
  <si>
    <t>존망코인</t>
  </si>
  <si>
    <t>쇼미더럭키짱</t>
  </si>
  <si>
    <t>쇼미더럭키짱!</t>
  </si>
  <si>
    <t>신림/남/22</t>
  </si>
  <si>
    <t>여고생드래곤</t>
  </si>
  <si>
    <t>여고생 드래곤</t>
  </si>
  <si>
    <t>사형소년</t>
  </si>
  <si>
    <t>소극적인간</t>
  </si>
  <si>
    <t>매지컬급식</t>
  </si>
  <si>
    <t>매지컬 급식:암살법사</t>
  </si>
  <si>
    <t>간첩18세</t>
  </si>
  <si>
    <t>간첩 18세</t>
  </si>
  <si>
    <t>궤짝</t>
  </si>
  <si>
    <t>보스였음</t>
  </si>
  <si>
    <t>고교흥신소</t>
  </si>
  <si>
    <t>백XX</t>
  </si>
  <si>
    <t>캐슬2</t>
  </si>
  <si>
    <t>캐슬2:만인지상</t>
  </si>
  <si>
    <t>왕따가격투기를너무잘함</t>
  </si>
  <si>
    <t>왕따가 격투기를 너무 잘함</t>
  </si>
  <si>
    <t>촉법소년</t>
  </si>
  <si>
    <t>유쾌한왕따(재)</t>
  </si>
  <si>
    <t>유쾌한 왕따(재)</t>
  </si>
  <si>
    <t>얼짱시대</t>
  </si>
  <si>
    <t>체탐자</t>
  </si>
  <si>
    <t>진주</t>
  </si>
  <si>
    <t>인생존망2</t>
  </si>
  <si>
    <t>감금구역레벨X</t>
  </si>
  <si>
    <t>감금 구역 레벨 X</t>
  </si>
  <si>
    <t>VS</t>
  </si>
  <si>
    <t>먹뀌싸</t>
  </si>
  <si>
    <t>좋아?죽어!</t>
  </si>
  <si>
    <t>좋아? 죽어!</t>
  </si>
  <si>
    <t>룸비니</t>
  </si>
  <si>
    <t>외모지상주의</t>
  </si>
  <si>
    <t>배달왕</t>
  </si>
  <si>
    <t>소년법칙</t>
  </si>
  <si>
    <t>러브 인 바디</t>
  </si>
  <si>
    <t>러브인바디</t>
  </si>
  <si>
    <t>왕관을 찾아줘</t>
  </si>
  <si>
    <t>데이워커</t>
  </si>
  <si>
    <t>건곤불이기</t>
  </si>
  <si>
    <t>이섭의 연애</t>
  </si>
  <si>
    <t>이섭의연애</t>
  </si>
  <si>
    <t>개짓</t>
  </si>
  <si>
    <t>구룡:사로카</t>
  </si>
  <si>
    <t>하이클래스</t>
  </si>
  <si>
    <t>밤의 방문자</t>
  </si>
  <si>
    <t>벤타블랙</t>
  </si>
  <si>
    <t>정의구현</t>
  </si>
  <si>
    <t>최악의 세대</t>
  </si>
  <si>
    <t>최악의세대</t>
  </si>
  <si>
    <t>남제</t>
  </si>
  <si>
    <t>명왕</t>
  </si>
  <si>
    <t>킬링필드</t>
  </si>
  <si>
    <t>냉동무사</t>
  </si>
  <si>
    <t>정종택</t>
  </si>
  <si>
    <t>박만사</t>
  </si>
  <si>
    <t>15세 이상 이용가능</t>
  </si>
  <si>
    <t>2025.04.28</t>
  </si>
  <si>
    <t>서인화, MUTE</t>
  </si>
  <si>
    <t>MUTE</t>
  </si>
  <si>
    <t>19세 이상 이용가능</t>
  </si>
  <si>
    <t>정연</t>
  </si>
  <si>
    <t>박만사, 태완</t>
  </si>
  <si>
    <t>2025.02.02</t>
  </si>
  <si>
    <t>펀치킥</t>
  </si>
  <si>
    <t>김꿀빨</t>
  </si>
  <si>
    <t>광산, MAJOR</t>
  </si>
  <si>
    <t>MAJOR</t>
  </si>
  <si>
    <t>죠</t>
  </si>
  <si>
    <t>2025.02.24</t>
  </si>
  <si>
    <t>윤영일</t>
  </si>
  <si>
    <t>호인</t>
  </si>
  <si>
    <t>박만사, 김꿀빨</t>
  </si>
  <si>
    <t>신신성</t>
  </si>
  <si>
    <t>백인휘</t>
  </si>
  <si>
    <t>전선욱</t>
  </si>
  <si>
    <t>2025.02.28</t>
  </si>
  <si>
    <t>백두</t>
  </si>
  <si>
    <t>겸자</t>
  </si>
  <si>
    <t>이시현</t>
  </si>
  <si>
    <t>형1978</t>
  </si>
  <si>
    <t>한큰빛</t>
  </si>
  <si>
    <t>르티</t>
  </si>
  <si>
    <t>약수</t>
  </si>
  <si>
    <t>박만사, 남자의 이야기</t>
  </si>
  <si>
    <t>2024.09.18</t>
  </si>
  <si>
    <t>2022.05.28</t>
  </si>
  <si>
    <t>한요정</t>
  </si>
  <si>
    <t>2024.12.20</t>
  </si>
  <si>
    <t>광산</t>
  </si>
  <si>
    <t>2023.10.28</t>
  </si>
  <si>
    <t>땅콩</t>
  </si>
  <si>
    <t>2022.12.27</t>
  </si>
  <si>
    <t>2024.08.02</t>
  </si>
  <si>
    <t>김숭늉</t>
  </si>
  <si>
    <t>2024.03.08</t>
  </si>
  <si>
    <t>지노</t>
  </si>
  <si>
    <t>2024.04.15</t>
  </si>
  <si>
    <t>소극적 인간</t>
  </si>
  <si>
    <t>다쓴총</t>
  </si>
  <si>
    <t>2022.04.07</t>
  </si>
  <si>
    <t>김주인</t>
  </si>
  <si>
    <t>팀꿀빨/김주인</t>
  </si>
  <si>
    <t>2023.09.22</t>
  </si>
  <si>
    <t>박태준 만화회사</t>
  </si>
  <si>
    <t>2021.08.27</t>
  </si>
  <si>
    <t>2022.08.13</t>
  </si>
  <si>
    <t>에가시라 다이키</t>
  </si>
  <si>
    <t>taskey STUDIO</t>
  </si>
  <si>
    <t>2024.05.31</t>
  </si>
  <si>
    <t>웡웡이</t>
  </si>
  <si>
    <t>스튜디오 B</t>
  </si>
  <si>
    <t>전체이용가</t>
  </si>
  <si>
    <t>2024.03.03</t>
  </si>
  <si>
    <t>팀 숭늉</t>
  </si>
  <si>
    <t>부서</t>
    <phoneticPr fontId="26" type="noConversion"/>
  </si>
  <si>
    <t>팀 꿀빨</t>
  </si>
  <si>
    <t>팀 유호빈</t>
  </si>
  <si>
    <t>전략기획팀</t>
  </si>
  <si>
    <t>팀 병장</t>
  </si>
  <si>
    <t>백XX(가제.쌍두사)</t>
  </si>
  <si>
    <t>팀 MAJOR_메이저</t>
  </si>
  <si>
    <t>유쾌한왕따</t>
  </si>
  <si>
    <t>제작팀</t>
  </si>
  <si>
    <t>경영관리실</t>
  </si>
  <si>
    <t>소년법칙(가제.데드멘숀)</t>
  </si>
  <si>
    <t>러브인바디(가제.다이어트 졸업반)</t>
  </si>
  <si>
    <t>팀 MUTE_뮤트</t>
  </si>
  <si>
    <t>벤타블랙(가제.가드)</t>
  </si>
  <si>
    <t>정의구현(가제.정의의이름으로)</t>
  </si>
  <si>
    <t>명왕(가제.논산고)</t>
  </si>
  <si>
    <t>욕망일기 DEEP</t>
  </si>
  <si>
    <t>욕망일기 Deep</t>
    <phoneticPr fontId="18" type="noConversion"/>
  </si>
  <si>
    <t>최용준</t>
  </si>
  <si>
    <t>럭스</t>
  </si>
  <si>
    <t>강제소집</t>
  </si>
  <si>
    <t>GArt</t>
  </si>
  <si>
    <t>남자의이야기/GArt</t>
  </si>
  <si>
    <t>수트빨</t>
  </si>
  <si>
    <t>유상금액보정</t>
  </si>
  <si>
    <t>유상이용권-원스토어</t>
  </si>
  <si>
    <t>수트빨</t>
    <phoneticPr fontId="18" type="noConversion"/>
  </si>
  <si>
    <t>팀 꿀빨</t>
    <phoneticPr fontId="18" type="noConversion"/>
  </si>
  <si>
    <t>PN004</t>
  </si>
  <si>
    <t>W1300</t>
  </si>
  <si>
    <t>PN005</t>
  </si>
  <si>
    <t>PN046</t>
  </si>
  <si>
    <t>W1200</t>
  </si>
  <si>
    <t>PN006</t>
  </si>
  <si>
    <t>B1200</t>
  </si>
  <si>
    <t>PN007</t>
  </si>
  <si>
    <t>PN009</t>
  </si>
  <si>
    <t>PN010</t>
  </si>
  <si>
    <t>W1500</t>
  </si>
  <si>
    <t>PN011</t>
  </si>
  <si>
    <t>PN012</t>
  </si>
  <si>
    <t>PN013</t>
  </si>
  <si>
    <t>PN014</t>
  </si>
  <si>
    <t>PN016</t>
  </si>
  <si>
    <t>W1400</t>
  </si>
  <si>
    <t>PN018</t>
  </si>
  <si>
    <t>W1700</t>
  </si>
  <si>
    <t>PN019</t>
  </si>
  <si>
    <t>PN026</t>
  </si>
  <si>
    <t>PN033</t>
  </si>
  <si>
    <t>PN032</t>
  </si>
  <si>
    <t>W1102</t>
  </si>
  <si>
    <t>PN021</t>
  </si>
  <si>
    <t>PN020</t>
  </si>
  <si>
    <t>PN045</t>
  </si>
  <si>
    <t>PN037</t>
  </si>
  <si>
    <t>B1100</t>
  </si>
  <si>
    <t>PN049</t>
  </si>
  <si>
    <t>PN023</t>
  </si>
  <si>
    <t>PN064</t>
  </si>
  <si>
    <t>PN025</t>
  </si>
  <si>
    <t>PN030</t>
  </si>
  <si>
    <t>PN072</t>
  </si>
  <si>
    <t>PN047</t>
  </si>
  <si>
    <t>PN079</t>
  </si>
  <si>
    <t>W1600</t>
  </si>
  <si>
    <t>PN069</t>
  </si>
  <si>
    <t>PN077</t>
  </si>
  <si>
    <t>P0N79</t>
  </si>
  <si>
    <t>PN034</t>
  </si>
  <si>
    <t>PN035</t>
  </si>
  <si>
    <t>PN053</t>
  </si>
  <si>
    <t>PN042</t>
  </si>
  <si>
    <t>PN041</t>
  </si>
  <si>
    <t>PN043</t>
  </si>
  <si>
    <t>PN066</t>
  </si>
  <si>
    <t>PN063</t>
  </si>
  <si>
    <t>PN048</t>
  </si>
  <si>
    <t>PN015</t>
  </si>
  <si>
    <t>PN061</t>
  </si>
  <si>
    <t>PN086</t>
  </si>
  <si>
    <t>강제소집</t>
    <phoneticPr fontId="18" type="noConversion"/>
  </si>
  <si>
    <t>전략기획팀</t>
    <phoneticPr fontId="18" type="noConversion"/>
  </si>
  <si>
    <t>PN068</t>
  </si>
  <si>
    <t>PN081</t>
  </si>
  <si>
    <t>러브 인 바디</t>
    <phoneticPr fontId="18" type="noConversion"/>
  </si>
  <si>
    <t>밤의 방문자</t>
    <phoneticPr fontId="18" type="noConversion"/>
  </si>
  <si>
    <t>최악의 세대</t>
    <phoneticPr fontId="18" type="noConversion"/>
  </si>
  <si>
    <t>왕관을 찾아줘</t>
    <phoneticPr fontId="18" type="noConversion"/>
  </si>
  <si>
    <t>이섭의연애</t>
    <phoneticPr fontId="18" type="noConversion"/>
  </si>
  <si>
    <t>레벨999고블린</t>
    <phoneticPr fontId="18" type="noConversion"/>
  </si>
  <si>
    <t>레벨999 고블린</t>
    <phoneticPr fontId="18" type="noConversion"/>
  </si>
  <si>
    <t>만렙고블린/레벨999고블린(가제)</t>
  </si>
  <si>
    <t>PN085</t>
  </si>
  <si>
    <t>2025.05.26</t>
  </si>
  <si>
    <t>레벨999 고블린</t>
  </si>
  <si>
    <t>곰곰</t>
  </si>
  <si>
    <t>다피/곰곰</t>
  </si>
  <si>
    <t>2025.05.07</t>
  </si>
  <si>
    <t>십이지소녀</t>
  </si>
  <si>
    <t>지지</t>
  </si>
  <si>
    <t>십이지소녀</t>
    <phoneticPr fontId="18" type="noConversion"/>
  </si>
  <si>
    <t>12지소녀</t>
    <phoneticPr fontId="18" type="noConversion"/>
  </si>
  <si>
    <t>부서코드</t>
    <phoneticPr fontId="18" type="noConversion"/>
  </si>
  <si>
    <t>프로젝트코드</t>
    <phoneticPr fontId="18" type="noConversion"/>
  </si>
  <si>
    <t>PN001</t>
  </si>
  <si>
    <t>PN002</t>
  </si>
  <si>
    <t>PN003</t>
  </si>
  <si>
    <t>PN008</t>
  </si>
  <si>
    <t>PN017</t>
  </si>
  <si>
    <t>W1101</t>
  </si>
  <si>
    <t>PN044</t>
  </si>
  <si>
    <t>PN084</t>
  </si>
  <si>
    <t>PN082</t>
    <phoneticPr fontId="18" type="noConversion"/>
  </si>
  <si>
    <t>유상_iap</t>
    <phoneticPr fontId="18" type="noConversion"/>
  </si>
  <si>
    <t>유상_iab</t>
    <phoneticPr fontId="18" type="noConversion"/>
  </si>
  <si>
    <t>유상_iab(npay)</t>
    <phoneticPr fontId="18" type="noConversion"/>
  </si>
  <si>
    <t>유상_원스토어</t>
    <phoneticPr fontId="18" type="noConversion"/>
  </si>
  <si>
    <t>유상_리딤 쿠키</t>
    <phoneticPr fontId="18" type="noConversion"/>
  </si>
  <si>
    <t>정산기준</t>
    <phoneticPr fontId="18" type="noConversion"/>
  </si>
  <si>
    <t>수익</t>
  </si>
  <si>
    <t>조정</t>
    <phoneticPr fontId="18" type="noConversion"/>
  </si>
  <si>
    <t>매출 확정</t>
    <phoneticPr fontId="18" type="noConversion"/>
  </si>
  <si>
    <t>MG</t>
    <phoneticPr fontId="18" type="noConversion"/>
  </si>
  <si>
    <t>태존비록</t>
  </si>
  <si>
    <t>레드훅</t>
  </si>
  <si>
    <t>비가, 김꿀빨 / 레드훅</t>
  </si>
  <si>
    <t>용사생활기록부</t>
  </si>
  <si>
    <t>PN111</t>
  </si>
  <si>
    <t>2025.07.05</t>
  </si>
  <si>
    <t>태존비록</t>
    <phoneticPr fontId="18" type="noConversion"/>
  </si>
  <si>
    <t>PN040</t>
    <phoneticPr fontId="18" type="noConversion"/>
  </si>
  <si>
    <t>용사생활기록부</t>
    <phoneticPr fontId="18" type="noConversion"/>
  </si>
  <si>
    <t>오! 나의 교주님</t>
  </si>
  <si>
    <t>김꿀빨, 김완두</t>
  </si>
  <si>
    <t>악귀나찰</t>
  </si>
  <si>
    <t>김구름</t>
  </si>
  <si>
    <t>김숭늉/김구름</t>
  </si>
  <si>
    <t>용사생활기록부</t>
    <phoneticPr fontId="26" type="noConversion"/>
  </si>
  <si>
    <t>태존비록</t>
    <phoneticPr fontId="26" type="noConversion"/>
  </si>
  <si>
    <t>악귀나찰</t>
    <phoneticPr fontId="18" type="noConversion"/>
  </si>
  <si>
    <t>악귀나찰(먹뀌싸2)</t>
    <phoneticPr fontId="18" type="noConversion"/>
  </si>
  <si>
    <t>PN095</t>
    <phoneticPr fontId="18" type="noConversion"/>
  </si>
  <si>
    <t>오! 나의 교주님</t>
    <phoneticPr fontId="18" type="noConversion"/>
  </si>
  <si>
    <t>PN137</t>
    <phoneticPr fontId="18" type="noConversion"/>
  </si>
  <si>
    <t>오늘도 퇴근</t>
  </si>
  <si>
    <t>물속</t>
  </si>
  <si>
    <t>파셔, 백초 / 물속</t>
  </si>
  <si>
    <t>2025.09.28</t>
  </si>
  <si>
    <t>2025.09.17</t>
  </si>
  <si>
    <t>오늘도 퇴근</t>
    <phoneticPr fontId="18" type="noConversion"/>
  </si>
  <si>
    <t>전략기획팀</t>
    <phoneticPr fontId="26" type="noConversion"/>
  </si>
  <si>
    <t>오늘도 퇴근</t>
    <phoneticPr fontId="26" type="noConversion"/>
  </si>
  <si>
    <t>PN092</t>
    <phoneticPr fontId="26" type="noConversion"/>
  </si>
  <si>
    <t>부가세</t>
    <phoneticPr fontId="18" type="noConversion"/>
  </si>
  <si>
    <t>합계</t>
    <phoneticPr fontId="18" type="noConversion"/>
  </si>
  <si>
    <t>밤친구</t>
  </si>
  <si>
    <t>밤친구</t>
    <phoneticPr fontId="18" type="noConversion"/>
  </si>
  <si>
    <t>밤친구</t>
    <phoneticPr fontId="18" type="noConversion"/>
  </si>
  <si>
    <t>PN113</t>
    <phoneticPr fontId="18" type="noConversion"/>
  </si>
  <si>
    <t>더그림엔터테인먼트_브랜드</t>
  </si>
  <si>
    <t>2025.10.14</t>
  </si>
  <si>
    <t>2025.08.04</t>
  </si>
  <si>
    <t>공급가액</t>
    <phoneticPr fontId="18" type="noConversion"/>
  </si>
  <si>
    <t>정발행</t>
    <phoneticPr fontId="18" type="noConversion"/>
  </si>
  <si>
    <t>익월 1~2일 경 정산내역 확인 가능</t>
    <phoneticPr fontId="18" type="noConversion"/>
  </si>
  <si>
    <t>2025.11.27</t>
  </si>
  <si>
    <t>2025.11.26</t>
  </si>
  <si>
    <t>2025.12.23</t>
  </si>
  <si>
    <t>2025.12.20</t>
  </si>
  <si>
    <t>네이버 프렌즈 어드민 &gt; Comic &gt; [시리즈] 매출 통계(이용권 포함) &gt; [CP용] 정산내역서 &gt; 내역 확인 후 세금계산서 정발행</t>
    <phoneticPr fontId="18" type="noConversion"/>
  </si>
  <si>
    <t>- 2025년 7월 [네이버웹툰 파트너십 프로그램]이 시작되어,  '무상 쿠키' 매출로 포함됩니다.(무상이용권 결제수수료율 상이)</t>
    <phoneticPr fontId="18" type="noConversion"/>
  </si>
  <si>
    <t>2026.01.28</t>
  </si>
  <si>
    <t>2026.01.31</t>
  </si>
  <si>
    <t>2026.01.26</t>
  </si>
  <si>
    <t>2026.01.29</t>
  </si>
  <si>
    <t>2026.01.27</t>
  </si>
  <si>
    <t>2026.01.30</t>
  </si>
  <si>
    <t>2026.02.01</t>
  </si>
  <si>
    <t>2026.01.14</t>
  </si>
  <si>
    <t>2026-01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</si>
</sst>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yyyy&quot;-&quot;mm"/>
    <numFmt numFmtId="178" formatCode="#,##0.0_ "/>
  </numFmts>
  <fonts count="5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color rgb="FFFF0000"/>
      <name val="나눔고딕"/>
      <family val="3"/>
      <charset val="129"/>
    </font>
    <font>
      <sz val="5"/>
      <color theme="1"/>
      <name val="Arial Unicode MS"/>
      <family val="2"/>
    </font>
    <font>
      <sz val="5"/>
      <color rgb="FFFF0000"/>
      <name val="Arial Unicode MS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 applyAlignment="1">
      <alignment horizontal="center" vertical="center"/>
    </xf>
    <xf numFmtId="41" fontId="19" fillId="0" borderId="0" xfId="1" applyFont="1">
      <alignment vertical="center"/>
    </xf>
    <xf numFmtId="41" fontId="19" fillId="0" borderId="0" xfId="1" applyFont="1" applyFill="1" applyAlignment="1">
      <alignment horizontal="center" vertical="center"/>
    </xf>
    <xf numFmtId="49" fontId="19" fillId="0" borderId="0" xfId="1" applyNumberFormat="1" applyFont="1" applyFill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0" fontId="28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29" fillId="36" borderId="0" xfId="0" applyFont="1" applyFill="1" applyAlignment="1">
      <alignment vertical="center" wrapText="1"/>
    </xf>
    <xf numFmtId="0" fontId="29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30" fillId="0" borderId="0" xfId="1" applyFont="1" applyAlignment="1">
      <alignment vertical="center"/>
    </xf>
    <xf numFmtId="41" fontId="29" fillId="36" borderId="0" xfId="1" applyFont="1" applyFill="1" applyAlignment="1">
      <alignment vertical="center"/>
    </xf>
    <xf numFmtId="41" fontId="30" fillId="0" borderId="0" xfId="1" applyFont="1" applyAlignment="1">
      <alignment vertical="center" wrapText="1"/>
    </xf>
    <xf numFmtId="41" fontId="29" fillId="36" borderId="0" xfId="1" applyFont="1" applyFill="1" applyAlignment="1">
      <alignment vertical="center" wrapText="1"/>
    </xf>
    <xf numFmtId="0" fontId="29" fillId="36" borderId="0" xfId="0" applyFont="1" applyFill="1" applyAlignment="1">
      <alignment horizontal="center" vertical="center"/>
    </xf>
    <xf numFmtId="41" fontId="29" fillId="36" borderId="0" xfId="1" applyFont="1" applyFill="1" applyAlignment="1">
      <alignment horizontal="center" vertical="center"/>
    </xf>
    <xf numFmtId="0" fontId="29" fillId="36" borderId="0" xfId="0" applyFont="1" applyFill="1" applyAlignment="1">
      <alignment horizontal="center" vertical="center" wrapText="1"/>
    </xf>
    <xf numFmtId="41" fontId="29" fillId="36" borderId="0" xfId="1" applyFont="1" applyFill="1" applyAlignment="1">
      <alignment horizontal="center" vertical="center" wrapText="1"/>
    </xf>
    <xf numFmtId="0" fontId="29" fillId="40" borderId="0" xfId="0" applyFont="1" applyFill="1">
      <alignment vertical="center"/>
    </xf>
    <xf numFmtId="41" fontId="29" fillId="40" borderId="0" xfId="1" applyFont="1" applyFill="1" applyAlignment="1">
      <alignment vertical="center"/>
    </xf>
    <xf numFmtId="0" fontId="33" fillId="0" borderId="11" xfId="0" applyFont="1" applyBorder="1" applyAlignment="1">
      <alignment horizontal="center" vertical="center"/>
    </xf>
    <xf numFmtId="41" fontId="31" fillId="0" borderId="0" xfId="1" applyFont="1" applyAlignment="1">
      <alignment vertical="center"/>
    </xf>
    <xf numFmtId="41" fontId="29" fillId="43" borderId="0" xfId="1" applyFont="1" applyFill="1" applyAlignment="1">
      <alignment horizontal="center" vertical="center"/>
    </xf>
    <xf numFmtId="41" fontId="30" fillId="43" borderId="0" xfId="1" applyFont="1" applyFill="1" applyAlignment="1">
      <alignment vertical="center"/>
    </xf>
    <xf numFmtId="41" fontId="29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9" fillId="43" borderId="0" xfId="1" applyFont="1" applyFill="1" applyAlignment="1">
      <alignment horizontal="center" vertical="center" wrapText="1"/>
    </xf>
    <xf numFmtId="41" fontId="30" fillId="43" borderId="0" xfId="1" applyFont="1" applyFill="1" applyAlignment="1">
      <alignment vertical="center" wrapText="1"/>
    </xf>
    <xf numFmtId="41" fontId="29" fillId="43" borderId="0" xfId="1" applyFont="1" applyFill="1" applyAlignment="1">
      <alignment vertical="center" wrapText="1"/>
    </xf>
    <xf numFmtId="41" fontId="19" fillId="0" borderId="0" xfId="0" applyNumberFormat="1" applyFont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4" fillId="0" borderId="11" xfId="45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24" fillId="44" borderId="12" xfId="0" applyFont="1" applyFill="1" applyBorder="1" applyAlignment="1">
      <alignment horizontal="center" vertical="center"/>
    </xf>
    <xf numFmtId="0" fontId="24" fillId="45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5" fillId="46" borderId="12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19" fillId="46" borderId="12" xfId="0" applyFont="1" applyFill="1" applyBorder="1" applyAlignment="1">
      <alignment horizontal="center" vertical="center"/>
    </xf>
    <xf numFmtId="3" fontId="36" fillId="0" borderId="0" xfId="0" applyNumberFormat="1" applyFont="1">
      <alignment vertical="center"/>
    </xf>
    <xf numFmtId="0" fontId="19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41" fontId="20" fillId="0" borderId="0" xfId="1" applyFont="1">
      <alignment vertical="center"/>
    </xf>
    <xf numFmtId="41" fontId="41" fillId="0" borderId="0" xfId="1" applyFont="1" applyAlignment="1">
      <alignment vertical="center"/>
    </xf>
    <xf numFmtId="41" fontId="37" fillId="0" borderId="0" xfId="1" applyFont="1" applyAlignment="1">
      <alignment vertical="center"/>
    </xf>
    <xf numFmtId="41" fontId="26" fillId="0" borderId="0" xfId="1" applyFont="1" applyAlignment="1">
      <alignment vertical="center"/>
    </xf>
    <xf numFmtId="0" fontId="21" fillId="0" borderId="12" xfId="0" applyFont="1" applyBorder="1" applyAlignment="1">
      <alignment horizontal="center" vertical="center"/>
    </xf>
    <xf numFmtId="41" fontId="36" fillId="0" borderId="0" xfId="1" applyFont="1" applyFill="1">
      <alignment vertical="center"/>
    </xf>
    <xf numFmtId="41" fontId="36" fillId="55" borderId="0" xfId="1" applyFont="1" applyFill="1">
      <alignment vertical="center"/>
    </xf>
    <xf numFmtId="3" fontId="30" fillId="0" borderId="0" xfId="0" applyNumberFormat="1" applyFont="1">
      <alignment vertical="center"/>
    </xf>
    <xf numFmtId="41" fontId="30" fillId="0" borderId="0" xfId="1" applyFont="1">
      <alignment vertical="center"/>
    </xf>
    <xf numFmtId="41" fontId="25" fillId="0" borderId="0" xfId="1" applyFont="1">
      <alignment vertical="center"/>
    </xf>
    <xf numFmtId="9" fontId="21" fillId="40" borderId="0" xfId="1" applyNumberFormat="1" applyFont="1" applyFill="1" applyAlignment="1">
      <alignment horizontal="center" vertical="center"/>
    </xf>
    <xf numFmtId="41" fontId="20" fillId="0" borderId="0" xfId="1" applyFont="1" applyAlignment="1">
      <alignment horizontal="center" vertical="center"/>
    </xf>
    <xf numFmtId="41" fontId="44" fillId="0" borderId="0" xfId="1" applyFont="1" applyFill="1" applyAlignment="1">
      <alignment horizontal="center" vertical="center"/>
    </xf>
    <xf numFmtId="178" fontId="30" fillId="0" borderId="0" xfId="0" applyNumberFormat="1" applyFont="1">
      <alignment vertical="center"/>
    </xf>
    <xf numFmtId="0" fontId="30" fillId="56" borderId="0" xfId="0" applyFont="1" applyFill="1">
      <alignment vertical="center"/>
    </xf>
    <xf numFmtId="41" fontId="30" fillId="56" borderId="0" xfId="0" applyNumberFormat="1" applyFont="1" applyFill="1">
      <alignment vertical="center"/>
    </xf>
    <xf numFmtId="41" fontId="30" fillId="56" borderId="14" xfId="1" applyFont="1" applyFill="1" applyBorder="1" applyAlignment="1">
      <alignment horizontal="center" vertical="center"/>
    </xf>
    <xf numFmtId="41" fontId="30" fillId="56" borderId="14" xfId="1" applyFont="1" applyFill="1" applyBorder="1">
      <alignment vertical="center"/>
    </xf>
    <xf numFmtId="41" fontId="45" fillId="56" borderId="0" xfId="0" applyNumberFormat="1" applyFont="1" applyFill="1">
      <alignment vertical="center"/>
    </xf>
    <xf numFmtId="41" fontId="45" fillId="56" borderId="0" xfId="1" applyFont="1" applyFill="1">
      <alignment vertical="center"/>
    </xf>
    <xf numFmtId="0" fontId="45" fillId="56" borderId="0" xfId="0" applyFont="1" applyFill="1">
      <alignment vertical="center"/>
    </xf>
    <xf numFmtId="0" fontId="46" fillId="0" borderId="0" xfId="0" applyFont="1" applyAlignment="1">
      <alignment horizontal="left" vertical="center"/>
    </xf>
    <xf numFmtId="0" fontId="21" fillId="46" borderId="12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0" fontId="26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41" fontId="33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1" fontId="40" fillId="0" borderId="0" xfId="0" applyNumberFormat="1" applyFont="1">
      <alignment vertical="center"/>
    </xf>
    <xf numFmtId="41" fontId="19" fillId="0" borderId="0" xfId="1" applyFont="1" applyAlignment="1">
      <alignment vertical="center"/>
    </xf>
    <xf numFmtId="41" fontId="20" fillId="0" borderId="0" xfId="1" applyFont="1" applyAlignment="1">
      <alignment vertical="center"/>
    </xf>
    <xf numFmtId="9" fontId="19" fillId="0" borderId="0" xfId="0" applyNumberFormat="1" applyFont="1">
      <alignment vertical="center"/>
    </xf>
    <xf numFmtId="9" fontId="19" fillId="0" borderId="0" xfId="2" applyFont="1" applyAlignment="1">
      <alignment vertical="center"/>
    </xf>
    <xf numFmtId="41" fontId="20" fillId="33" borderId="0" xfId="1" applyFont="1" applyFill="1" applyAlignment="1">
      <alignment horizontal="center" vertical="center"/>
    </xf>
    <xf numFmtId="41" fontId="21" fillId="0" borderId="0" xfId="1" applyFont="1" applyFill="1" applyAlignment="1">
      <alignment vertical="center"/>
    </xf>
    <xf numFmtId="41" fontId="19" fillId="0" borderId="0" xfId="1" applyFont="1" applyFill="1" applyBorder="1" applyAlignment="1">
      <alignment vertical="center"/>
    </xf>
    <xf numFmtId="41" fontId="39" fillId="0" borderId="0" xfId="1" applyFont="1" applyFill="1" applyAlignment="1">
      <alignment vertical="center"/>
    </xf>
    <xf numFmtId="0" fontId="33" fillId="0" borderId="0" xfId="0" applyFont="1">
      <alignment vertical="center"/>
    </xf>
    <xf numFmtId="0" fontId="32" fillId="0" borderId="0" xfId="45">
      <alignment vertical="center"/>
    </xf>
    <xf numFmtId="41" fontId="40" fillId="0" borderId="0" xfId="1" applyFont="1">
      <alignment vertical="center"/>
    </xf>
    <xf numFmtId="0" fontId="51" fillId="0" borderId="0" xfId="0" quotePrefix="1" applyFont="1">
      <alignment vertical="center"/>
    </xf>
    <xf numFmtId="0" fontId="42" fillId="48" borderId="0" xfId="0" applyFont="1" applyFill="1" applyAlignment="1">
      <alignment horizontal="center" vertical="center" wrapText="1"/>
    </xf>
    <xf numFmtId="0" fontId="42" fillId="47" borderId="0" xfId="0" applyFont="1" applyFill="1" applyAlignment="1">
      <alignment horizontal="center" vertical="center" wrapText="1"/>
    </xf>
    <xf numFmtId="0" fontId="42" fillId="50" borderId="0" xfId="0" applyFont="1" applyFill="1" applyAlignment="1">
      <alignment horizontal="center" vertical="center" wrapText="1"/>
    </xf>
    <xf numFmtId="0" fontId="42" fillId="51" borderId="0" xfId="0" applyFont="1" applyFill="1" applyAlignment="1">
      <alignment horizontal="center" vertical="center" wrapText="1"/>
    </xf>
    <xf numFmtId="0" fontId="42" fillId="52" borderId="0" xfId="0" applyFont="1" applyFill="1" applyAlignment="1">
      <alignment horizontal="center" vertical="center" wrapText="1"/>
    </xf>
    <xf numFmtId="0" fontId="42" fillId="49" borderId="0" xfId="0" applyFont="1" applyFill="1" applyAlignment="1">
      <alignment horizontal="center" vertical="center" wrapText="1"/>
    </xf>
    <xf numFmtId="0" fontId="42" fillId="53" borderId="0" xfId="0" applyFont="1" applyFill="1" applyAlignment="1">
      <alignment horizontal="center" vertical="center" wrapText="1"/>
    </xf>
    <xf numFmtId="0" fontId="43" fillId="54" borderId="0" xfId="0" applyFont="1" applyFill="1" applyAlignment="1">
      <alignment horizontal="center" vertical="center" wrapText="1"/>
    </xf>
    <xf numFmtId="0" fontId="43" fillId="54" borderId="13" xfId="0" applyFont="1" applyFill="1" applyBorder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7" fillId="0" borderId="0" xfId="0" applyFont="1" applyAlignment="1">
      <alignment vertical="top"/>
    </xf>
    <xf numFmtId="41" fontId="24" fillId="38" borderId="0" xfId="1" applyFont="1" applyFill="1" applyAlignment="1">
      <alignment horizontal="center" vertical="center" wrapText="1"/>
    </xf>
    <xf numFmtId="41" fontId="24" fillId="38" borderId="10" xfId="1" applyFont="1" applyFill="1" applyBorder="1" applyAlignment="1">
      <alignment horizontal="center" vertical="center"/>
    </xf>
    <xf numFmtId="0" fontId="23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/>
    </xf>
    <xf numFmtId="41" fontId="24" fillId="37" borderId="0" xfId="1" applyFont="1" applyFill="1" applyBorder="1" applyAlignment="1">
      <alignment horizontal="center" vertical="center" wrapText="1"/>
    </xf>
    <xf numFmtId="41" fontId="24" fillId="37" borderId="10" xfId="1" applyFont="1" applyFill="1" applyBorder="1" applyAlignment="1">
      <alignment horizontal="center" vertical="center" wrapText="1"/>
    </xf>
    <xf numFmtId="41" fontId="24" fillId="41" borderId="0" xfId="1" applyFont="1" applyFill="1" applyBorder="1" applyAlignment="1">
      <alignment horizontal="center" vertical="center" wrapText="1"/>
    </xf>
    <xf numFmtId="41" fontId="24" fillId="41" borderId="10" xfId="1" applyFont="1" applyFill="1" applyBorder="1" applyAlignment="1">
      <alignment horizontal="center" vertical="center" wrapText="1"/>
    </xf>
    <xf numFmtId="0" fontId="25" fillId="39" borderId="0" xfId="0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 wrapText="1"/>
    </xf>
    <xf numFmtId="0" fontId="24" fillId="38" borderId="10" xfId="0" applyFont="1" applyFill="1" applyBorder="1" applyAlignment="1">
      <alignment horizontal="center" vertical="center"/>
    </xf>
    <xf numFmtId="0" fontId="24" fillId="42" borderId="0" xfId="0" applyFont="1" applyFill="1" applyAlignment="1">
      <alignment horizontal="center" vertical="center" wrapText="1"/>
    </xf>
    <xf numFmtId="0" fontId="24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/>
    </xf>
    <xf numFmtId="41" fontId="20" fillId="35" borderId="0" xfId="1" applyFont="1" applyFill="1" applyAlignment="1">
      <alignment horizontal="center" vertical="center"/>
    </xf>
    <xf numFmtId="41" fontId="20" fillId="34" borderId="0" xfId="1" applyFont="1" applyFill="1" applyAlignment="1">
      <alignment horizontal="center" vertical="center"/>
    </xf>
    <xf numFmtId="41" fontId="24" fillId="38" borderId="0" xfId="1" applyFont="1" applyFill="1" applyAlignment="1">
      <alignment horizontal="center" vertical="center"/>
    </xf>
    <xf numFmtId="177" fontId="24" fillId="37" borderId="0" xfId="0" applyNumberFormat="1" applyFont="1" applyFill="1" applyAlignment="1">
      <alignment horizontal="center" vertical="center" wrapText="1"/>
    </xf>
    <xf numFmtId="177" fontId="24" fillId="37" borderId="10" xfId="0" applyNumberFormat="1" applyFont="1" applyFill="1" applyBorder="1" applyAlignment="1">
      <alignment horizontal="center" vertical="center" wrapText="1"/>
    </xf>
    <xf numFmtId="0" fontId="24" fillId="37" borderId="0" xfId="0" applyFont="1" applyFill="1" applyAlignment="1">
      <alignment horizontal="center" vertical="center" wrapText="1"/>
    </xf>
    <xf numFmtId="0" fontId="24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  <xf numFmtId="0" fontId="19" fillId="33" borderId="0" xfId="0" applyFont="1" applyFill="1">
      <alignment vertical="center"/>
    </xf>
    <xf numFmtId="0" fontId="33" fillId="0" borderId="11" xfId="0" applyFont="1" applyBorder="1" applyAlignment="1">
      <alignment horizontal="center" vertical="center"/>
    </xf>
    <xf numFmtId="0" fontId="52" fillId="0" borderId="0" xfId="0" applyFont="1" applyAlignment="1">
      <alignment horizontal="left" vertical="center" wrapText="1"/>
    </xf>
    <xf numFmtId="49" fontId="52" fillId="0" borderId="0" xfId="0" applyNumberFormat="1" applyFont="1" applyAlignment="1">
      <alignment vertical="center" wrapText="1"/>
    </xf>
    <xf numFmtId="0" fontId="52" fillId="0" borderId="0" xfId="0" applyFont="1" applyAlignment="1">
      <alignment vertical="center" wrapText="1"/>
    </xf>
    <xf numFmtId="3" fontId="52" fillId="0" borderId="0" xfId="0" applyNumberFormat="1" applyFont="1" applyAlignment="1">
      <alignment vertical="center" wrapText="1"/>
    </xf>
    <xf numFmtId="4" fontId="52" fillId="0" borderId="0" xfId="0" applyNumberFormat="1" applyFont="1" applyAlignment="1">
      <alignment vertical="center" wrapText="1"/>
    </xf>
    <xf numFmtId="4" fontId="53" fillId="0" borderId="0" xfId="0" applyNumberFormat="1" applyFont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49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3" fontId="46" fillId="0" borderId="0" xfId="0" applyNumberFormat="1" applyFont="1" applyAlignment="1">
      <alignment vertical="center"/>
    </xf>
    <xf numFmtId="4" fontId="46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237595</xdr:colOff>
      <xdr:row>2</xdr:row>
      <xdr:rowOff>9524</xdr:rowOff>
    </xdr:from>
    <xdr:to>
      <xdr:col>24</xdr:col>
      <xdr:colOff>17294</xdr:colOff>
      <xdr:row>21</xdr:row>
      <xdr:rowOff>57679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90B73F-322D-CE9C-9D6B-7C26B3F7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8012" y="454024"/>
          <a:ext cx="10479449" cy="426614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248179</xdr:colOff>
      <xdr:row>21</xdr:row>
      <xdr:rowOff>116417</xdr:rowOff>
    </xdr:from>
    <xdr:to>
      <xdr:col>24</xdr:col>
      <xdr:colOff>10583</xdr:colOff>
      <xdr:row>40</xdr:row>
      <xdr:rowOff>200029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5406719-F7EE-9759-6EDC-3960C8DE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8596" y="4783667"/>
          <a:ext cx="10462154" cy="430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0</xdr:rowOff>
    </xdr:from>
    <xdr:to>
      <xdr:col>10</xdr:col>
      <xdr:colOff>38099</xdr:colOff>
      <xdr:row>22</xdr:row>
      <xdr:rowOff>112105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309857-9DC5-8826-AED6-F7CBDD157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0"/>
          <a:ext cx="8048625" cy="4931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E496-C439-487C-AAB4-AB8FF50B258B}">
  <sheetPr>
    <tabColor theme="0" tint="-0.249977111117893"/>
  </sheetPr>
  <dimension ref="A1:I47"/>
  <sheetViews>
    <sheetView showGridLines="0" tabSelected="1" zoomScale="90" zoomScaleNormal="90" workbookViewId="0">
      <selection activeCell="F26" sqref="F26"/>
    </sheetView>
  </sheetViews>
  <sheetFormatPr defaultRowHeight="16.899999999999999"/>
  <cols>
    <col min="1" max="1" width="23.75" bestFit="1" customWidth="1"/>
    <col min="2" max="2" width="17" style="13" customWidth="1"/>
    <col min="3" max="3" width="11.4375" style="13" bestFit="1" customWidth="1"/>
    <col min="4" max="5" width="15.6875" style="13" customWidth="1"/>
    <col min="6" max="6" width="12.875" style="13" bestFit="1" customWidth="1"/>
    <col min="7" max="7" width="12.625" style="13" bestFit="1" customWidth="1"/>
    <col min="8" max="8" width="12.875" style="13" bestFit="1" customWidth="1"/>
    <col min="9" max="9" width="16.125" style="13" bestFit="1" customWidth="1"/>
    <col min="10" max="10" width="14" bestFit="1" customWidth="1"/>
  </cols>
  <sheetData>
    <row r="1" spans="1:9">
      <c r="A1" s="8" t="s">
        <v>395</v>
      </c>
    </row>
    <row r="3" spans="1:9">
      <c r="A3" s="18" t="s">
        <v>69</v>
      </c>
      <c r="B3" s="19" t="s">
        <v>70</v>
      </c>
      <c r="C3" s="19" t="s">
        <v>71</v>
      </c>
      <c r="D3" s="19" t="s">
        <v>72</v>
      </c>
      <c r="E3" s="19" t="s">
        <v>73</v>
      </c>
      <c r="F3" s="26" t="s">
        <v>74</v>
      </c>
      <c r="G3" s="26" t="s">
        <v>75</v>
      </c>
      <c r="H3" s="26" t="s">
        <v>76</v>
      </c>
      <c r="I3" s="19" t="s">
        <v>77</v>
      </c>
    </row>
    <row r="4" spans="1:9">
      <c r="A4" s="10" t="s">
        <v>83</v>
      </c>
      <c r="B4" s="14">
        <v>215911800</v>
      </c>
      <c r="C4" s="14">
        <v>0</v>
      </c>
      <c r="D4" s="14">
        <v>19432062</v>
      </c>
      <c r="E4" s="14">
        <v>196479738</v>
      </c>
      <c r="F4" s="27">
        <v>117887843</v>
      </c>
      <c r="G4" s="27">
        <v>0</v>
      </c>
      <c r="H4" s="27">
        <v>117887843</v>
      </c>
      <c r="I4" s="14">
        <v>78591895</v>
      </c>
    </row>
    <row r="5" spans="1:9">
      <c r="A5" s="10" t="s">
        <v>249</v>
      </c>
      <c r="B5" s="14">
        <v>3865</v>
      </c>
      <c r="C5" s="14">
        <v>0</v>
      </c>
      <c r="D5" s="14">
        <v>0</v>
      </c>
      <c r="E5" s="14">
        <v>3865</v>
      </c>
      <c r="F5" s="27">
        <v>2319</v>
      </c>
      <c r="G5" s="27">
        <v>0</v>
      </c>
      <c r="H5" s="27">
        <v>2319</v>
      </c>
      <c r="I5" s="14">
        <v>1546</v>
      </c>
    </row>
    <row r="6" spans="1:9">
      <c r="A6" s="10" t="s">
        <v>80</v>
      </c>
      <c r="B6" s="14">
        <v>153323574</v>
      </c>
      <c r="C6" s="14">
        <v>0</v>
      </c>
      <c r="D6" s="14">
        <v>15332357</v>
      </c>
      <c r="E6" s="14">
        <v>137991217</v>
      </c>
      <c r="F6" s="27">
        <v>82794730</v>
      </c>
      <c r="G6" s="27">
        <v>0</v>
      </c>
      <c r="H6" s="27">
        <v>82794730</v>
      </c>
      <c r="I6" s="14">
        <v>55196487</v>
      </c>
    </row>
    <row r="7" spans="1:9">
      <c r="A7" s="10" t="s">
        <v>78</v>
      </c>
      <c r="B7" s="14">
        <v>241890978</v>
      </c>
      <c r="C7" s="14">
        <v>0</v>
      </c>
      <c r="D7" s="14">
        <v>72567293</v>
      </c>
      <c r="E7" s="14">
        <v>169323685</v>
      </c>
      <c r="F7" s="27">
        <v>101594211</v>
      </c>
      <c r="G7" s="27">
        <v>0</v>
      </c>
      <c r="H7" s="27">
        <v>101594211</v>
      </c>
      <c r="I7" s="14">
        <v>67729474</v>
      </c>
    </row>
    <row r="8" spans="1:9">
      <c r="A8" s="10" t="s">
        <v>250</v>
      </c>
      <c r="B8" s="14">
        <v>3840960</v>
      </c>
      <c r="C8" s="14">
        <v>0</v>
      </c>
      <c r="D8" s="14">
        <v>307277</v>
      </c>
      <c r="E8" s="14">
        <v>3533683</v>
      </c>
      <c r="F8" s="27">
        <v>2120210</v>
      </c>
      <c r="G8" s="27">
        <v>0</v>
      </c>
      <c r="H8" s="27">
        <v>2120210</v>
      </c>
      <c r="I8" s="14">
        <v>1413473</v>
      </c>
    </row>
    <row r="9" spans="1:9">
      <c r="A9" s="10" t="s">
        <v>82</v>
      </c>
      <c r="B9" s="14">
        <v>206814125</v>
      </c>
      <c r="C9" s="14">
        <v>0</v>
      </c>
      <c r="D9" s="14">
        <v>0</v>
      </c>
      <c r="E9" s="14">
        <v>206814125</v>
      </c>
      <c r="F9" s="27">
        <v>124088475</v>
      </c>
      <c r="G9" s="27">
        <v>0</v>
      </c>
      <c r="H9" s="27">
        <v>124088475</v>
      </c>
      <c r="I9" s="14">
        <v>82725650</v>
      </c>
    </row>
    <row r="10" spans="1:9">
      <c r="A10" s="10" t="s">
        <v>81</v>
      </c>
      <c r="B10" s="14">
        <v>1251500</v>
      </c>
      <c r="C10" s="14">
        <v>0</v>
      </c>
      <c r="D10" s="14">
        <v>187725</v>
      </c>
      <c r="E10" s="14">
        <v>1063775</v>
      </c>
      <c r="F10" s="27">
        <v>638265</v>
      </c>
      <c r="G10" s="27">
        <v>0</v>
      </c>
      <c r="H10" s="27">
        <v>638265</v>
      </c>
      <c r="I10" s="14">
        <v>425510</v>
      </c>
    </row>
    <row r="11" spans="1:9">
      <c r="A11" s="10" t="s">
        <v>79</v>
      </c>
      <c r="B11" s="14">
        <v>278145515</v>
      </c>
      <c r="C11" s="14">
        <v>0</v>
      </c>
      <c r="D11" s="14">
        <v>8344365</v>
      </c>
      <c r="E11" s="14">
        <v>269801150</v>
      </c>
      <c r="F11" s="27">
        <v>161880690</v>
      </c>
      <c r="G11" s="27">
        <v>0</v>
      </c>
      <c r="H11" s="27">
        <v>161880690</v>
      </c>
      <c r="I11" s="14">
        <v>107920460</v>
      </c>
    </row>
    <row r="12" spans="1:9">
      <c r="A12" s="12" t="s">
        <v>27</v>
      </c>
      <c r="B12" s="15">
        <v>1101182317</v>
      </c>
      <c r="C12" s="15">
        <v>0</v>
      </c>
      <c r="D12" s="15">
        <v>116171079</v>
      </c>
      <c r="E12" s="15">
        <v>985011238</v>
      </c>
      <c r="F12" s="28">
        <v>591006743</v>
      </c>
      <c r="G12" s="28">
        <v>0</v>
      </c>
      <c r="H12" s="28">
        <v>591006743</v>
      </c>
      <c r="I12" s="15">
        <v>394004495</v>
      </c>
    </row>
    <row r="13" spans="1:9">
      <c r="F13" s="29"/>
      <c r="G13" s="29"/>
      <c r="H13" s="29"/>
    </row>
    <row r="14" spans="1:9">
      <c r="A14" s="20" t="s">
        <v>69</v>
      </c>
      <c r="B14" s="21" t="s">
        <v>70</v>
      </c>
      <c r="C14" s="21" t="s">
        <v>71</v>
      </c>
      <c r="D14" s="21" t="s">
        <v>72</v>
      </c>
      <c r="E14" s="21" t="s">
        <v>73</v>
      </c>
      <c r="F14" s="30" t="s">
        <v>74</v>
      </c>
      <c r="G14" s="30" t="s">
        <v>75</v>
      </c>
      <c r="H14" s="30" t="s">
        <v>76</v>
      </c>
      <c r="I14" s="21" t="s">
        <v>77</v>
      </c>
    </row>
    <row r="15" spans="1:9">
      <c r="A15" s="9" t="s">
        <v>81</v>
      </c>
      <c r="B15" s="16">
        <v>5900</v>
      </c>
      <c r="C15" s="16">
        <v>0</v>
      </c>
      <c r="D15" s="16">
        <v>885</v>
      </c>
      <c r="E15" s="16">
        <v>5015</v>
      </c>
      <c r="F15" s="31">
        <v>3009</v>
      </c>
      <c r="G15" s="31">
        <v>0</v>
      </c>
      <c r="H15" s="31">
        <v>3009</v>
      </c>
      <c r="I15" s="16">
        <v>2006</v>
      </c>
    </row>
    <row r="16" spans="1:9">
      <c r="A16" s="9" t="s">
        <v>249</v>
      </c>
      <c r="B16" s="16">
        <v>416</v>
      </c>
      <c r="C16" s="16">
        <v>0</v>
      </c>
      <c r="D16" s="16">
        <v>0</v>
      </c>
      <c r="E16" s="16">
        <v>416</v>
      </c>
      <c r="F16" s="31">
        <v>250</v>
      </c>
      <c r="G16" s="31">
        <v>0</v>
      </c>
      <c r="H16" s="31">
        <v>250</v>
      </c>
      <c r="I16" s="16">
        <v>166</v>
      </c>
    </row>
    <row r="17" spans="1:9">
      <c r="A17" s="9" t="s">
        <v>82</v>
      </c>
      <c r="B17" s="16">
        <v>937745</v>
      </c>
      <c r="C17" s="16">
        <v>0</v>
      </c>
      <c r="D17" s="16">
        <v>0</v>
      </c>
      <c r="E17" s="16">
        <v>937745</v>
      </c>
      <c r="F17" s="31">
        <v>562647</v>
      </c>
      <c r="G17" s="31">
        <v>0</v>
      </c>
      <c r="H17" s="31">
        <v>562647</v>
      </c>
      <c r="I17" s="16">
        <v>375098</v>
      </c>
    </row>
    <row r="18" spans="1:9">
      <c r="A18" s="9" t="s">
        <v>80</v>
      </c>
      <c r="B18" s="16">
        <v>173471</v>
      </c>
      <c r="C18" s="16">
        <v>0</v>
      </c>
      <c r="D18" s="16">
        <v>17347</v>
      </c>
      <c r="E18" s="16">
        <v>156124</v>
      </c>
      <c r="F18" s="31">
        <v>93674</v>
      </c>
      <c r="G18" s="31">
        <v>0</v>
      </c>
      <c r="H18" s="31">
        <v>93674</v>
      </c>
      <c r="I18" s="16">
        <v>62450</v>
      </c>
    </row>
    <row r="19" spans="1:9">
      <c r="A19" s="9" t="s">
        <v>78</v>
      </c>
      <c r="B19" s="16">
        <v>229329</v>
      </c>
      <c r="C19" s="16">
        <v>0</v>
      </c>
      <c r="D19" s="16">
        <v>68799</v>
      </c>
      <c r="E19" s="16">
        <v>160530</v>
      </c>
      <c r="F19" s="31">
        <v>96318</v>
      </c>
      <c r="G19" s="31">
        <v>0</v>
      </c>
      <c r="H19" s="31">
        <v>96318</v>
      </c>
      <c r="I19" s="16">
        <v>64212</v>
      </c>
    </row>
    <row r="20" spans="1:9">
      <c r="A20" s="9" t="s">
        <v>83</v>
      </c>
      <c r="B20" s="16">
        <v>265440</v>
      </c>
      <c r="C20" s="16">
        <v>0</v>
      </c>
      <c r="D20" s="16">
        <v>23890</v>
      </c>
      <c r="E20" s="16">
        <v>241550</v>
      </c>
      <c r="F20" s="31">
        <v>144930</v>
      </c>
      <c r="G20" s="31">
        <v>0</v>
      </c>
      <c r="H20" s="31">
        <v>144930</v>
      </c>
      <c r="I20" s="16">
        <v>96620</v>
      </c>
    </row>
    <row r="21" spans="1:9">
      <c r="A21" s="9" t="s">
        <v>79</v>
      </c>
      <c r="B21" s="16">
        <v>4149004</v>
      </c>
      <c r="C21" s="16">
        <v>0</v>
      </c>
      <c r="D21" s="16">
        <v>124470</v>
      </c>
      <c r="E21" s="16">
        <v>4024534</v>
      </c>
      <c r="F21" s="31">
        <v>2414720</v>
      </c>
      <c r="G21" s="31">
        <v>0</v>
      </c>
      <c r="H21" s="31">
        <v>2414720</v>
      </c>
      <c r="I21" s="16">
        <v>1609814</v>
      </c>
    </row>
    <row r="22" spans="1:9">
      <c r="A22" s="9" t="s">
        <v>250</v>
      </c>
      <c r="B22" s="16">
        <v>3360</v>
      </c>
      <c r="C22" s="16">
        <v>0</v>
      </c>
      <c r="D22" s="16">
        <v>269</v>
      </c>
      <c r="E22" s="16">
        <v>3091</v>
      </c>
      <c r="F22" s="31">
        <v>1855</v>
      </c>
      <c r="G22" s="31">
        <v>0</v>
      </c>
      <c r="H22" s="31">
        <v>1855</v>
      </c>
      <c r="I22" s="16">
        <v>1236</v>
      </c>
    </row>
    <row r="23" spans="1:9">
      <c r="A23" s="11" t="s">
        <v>27</v>
      </c>
      <c r="B23" s="17">
        <v>5764665</v>
      </c>
      <c r="C23" s="17">
        <v>0</v>
      </c>
      <c r="D23" s="17">
        <v>235660</v>
      </c>
      <c r="E23" s="17">
        <v>5529005</v>
      </c>
      <c r="F23" s="32">
        <v>3317403</v>
      </c>
      <c r="G23" s="32">
        <v>0</v>
      </c>
      <c r="H23" s="32">
        <v>3317403</v>
      </c>
      <c r="I23" s="17">
        <v>2211602</v>
      </c>
    </row>
    <row r="24" spans="1:9">
      <c r="F24" s="29"/>
      <c r="G24" s="29"/>
      <c r="H24" s="29"/>
    </row>
    <row r="25" spans="1:9">
      <c r="F25" s="29"/>
      <c r="G25" s="29"/>
      <c r="H25" s="29"/>
    </row>
    <row r="26" spans="1:9">
      <c r="A26" s="22" t="s">
        <v>84</v>
      </c>
      <c r="B26" s="23">
        <f t="shared" ref="B26:I26" si="0">B12+B23</f>
        <v>1106946982</v>
      </c>
      <c r="C26" s="23">
        <f t="shared" si="0"/>
        <v>0</v>
      </c>
      <c r="D26" s="23">
        <f t="shared" si="0"/>
        <v>116406739</v>
      </c>
      <c r="E26" s="23">
        <f t="shared" si="0"/>
        <v>990540243</v>
      </c>
      <c r="F26" s="28">
        <f t="shared" si="0"/>
        <v>594324146</v>
      </c>
      <c r="G26" s="28">
        <f t="shared" si="0"/>
        <v>0</v>
      </c>
      <c r="H26" s="28">
        <f t="shared" si="0"/>
        <v>594324146</v>
      </c>
      <c r="I26" s="23">
        <f t="shared" si="0"/>
        <v>396216097</v>
      </c>
    </row>
    <row r="28" spans="1:9">
      <c r="B28" s="25" t="b">
        <f>B26=SUMIFS('컨텐츠별 매출 통계'!CA:CA,'컨텐츠별 매출 통계'!CF:CF,"2026-01")</f>
        <v>1</v>
      </c>
      <c r="C28" s="25"/>
      <c r="D28" s="50" t="b">
        <f>D26=SUMIFS('컨텐츠별 매출 통계'!$CB:$CB,'컨텐츠별 매출 통계'!$CF:$CF,"2026-01")</f>
        <v>1</v>
      </c>
      <c r="E28" s="50" t="b">
        <f>E26=SUMIFS('컨텐츠별 매출 통계'!$CC:$CC,'컨텐츠별 매출 통계'!$CF:$CF,"2026-01")</f>
        <v>1</v>
      </c>
      <c r="F28" s="25" t="b">
        <f>F26=SUMIFS('컨텐츠별 매출 통계'!$CN:$CN,'컨텐츠별 매출 통계'!$CF:$CF,"2026-01")</f>
        <v>1</v>
      </c>
      <c r="G28" s="25" t="b">
        <f>G26=SUMIFS('컨텐츠별 매출 통계'!$CO:$CO,'컨텐츠별 매출 통계'!$CF:$CF,"2026-01")</f>
        <v>1</v>
      </c>
      <c r="H28" s="25" t="b">
        <f>H26=SUMIFS('컨텐츠별 매출 통계'!$CP:$CP,'컨텐츠별 매출 통계'!$CF:$CF,"2026-01")</f>
        <v>1</v>
      </c>
      <c r="I28" s="25"/>
    </row>
    <row r="29" spans="1:9">
      <c r="A29" s="13"/>
      <c r="D29" s="48"/>
      <c r="E29" s="49"/>
    </row>
    <row r="30" spans="1:9">
      <c r="A30" s="13"/>
    </row>
    <row r="31" spans="1:9">
      <c r="A31" s="13"/>
    </row>
    <row r="32" spans="1:9">
      <c r="A32" s="13"/>
    </row>
    <row r="33" spans="1:3">
      <c r="A33" s="13"/>
    </row>
    <row r="34" spans="1:3">
      <c r="A34" s="13"/>
    </row>
    <row r="35" spans="1:3">
      <c r="A35" s="13"/>
    </row>
    <row r="36" spans="1:3">
      <c r="A36" s="13"/>
    </row>
    <row r="37" spans="1:3">
      <c r="A37" s="13"/>
    </row>
    <row r="38" spans="1:3">
      <c r="A38" s="13"/>
    </row>
    <row r="39" spans="1:3">
      <c r="A39" s="13"/>
    </row>
    <row r="40" spans="1:3">
      <c r="A40" s="13"/>
    </row>
    <row r="41" spans="1:3">
      <c r="A41" s="13"/>
    </row>
    <row r="42" spans="1:3">
      <c r="A42" s="13"/>
    </row>
    <row r="43" spans="1:3">
      <c r="A43" s="13"/>
    </row>
    <row r="44" spans="1:3">
      <c r="A44" s="13"/>
    </row>
    <row r="45" spans="1:3">
      <c r="B45"/>
      <c r="C45"/>
    </row>
    <row r="46" spans="1:3">
      <c r="B46"/>
      <c r="C46"/>
    </row>
    <row r="47" spans="1:3">
      <c r="B47"/>
      <c r="C47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6922-548D-4D92-9CFD-B7200947BDA1}">
  <sheetPr>
    <tabColor theme="0" tint="-0.249977111117893"/>
  </sheetPr>
  <dimension ref="A1:K29"/>
  <sheetViews>
    <sheetView showGridLines="0" workbookViewId="0">
      <selection activeCell="M12" sqref="M12"/>
    </sheetView>
  </sheetViews>
  <sheetFormatPr defaultRowHeight="16.899999999999999"/>
  <cols>
    <col min="6" max="7" width="9.9375" bestFit="1" customWidth="1"/>
    <col min="8" max="8" width="14.5625" bestFit="1" customWidth="1"/>
    <col min="9" max="11" width="12.9375" customWidth="1"/>
    <col min="12" max="12" width="11.625" customWidth="1"/>
  </cols>
  <sheetData>
    <row r="1" spans="1:5">
      <c r="A1" s="75"/>
    </row>
    <row r="10" spans="1:5">
      <c r="E10" s="88"/>
    </row>
    <row r="26" spans="6:11">
      <c r="F26" s="77"/>
      <c r="G26" s="77"/>
      <c r="H26" s="76" t="s">
        <v>388</v>
      </c>
      <c r="I26" s="76" t="s">
        <v>379</v>
      </c>
      <c r="J26" s="76" t="s">
        <v>380</v>
      </c>
      <c r="K26" s="46"/>
    </row>
    <row r="27" spans="6:11">
      <c r="F27" s="78"/>
      <c r="G27" s="78"/>
      <c r="H27" s="89">
        <v>594324146</v>
      </c>
      <c r="I27" s="89">
        <v>0</v>
      </c>
      <c r="J27" s="89">
        <v>594324146</v>
      </c>
      <c r="K27" s="89"/>
    </row>
    <row r="28" spans="6:11">
      <c r="H28" s="87" t="b">
        <f>H27='1월_정산내역서'!F26</f>
        <v>1</v>
      </c>
      <c r="I28" s="87" t="b">
        <f>I27='1월_정산내역서'!G26</f>
        <v>1</v>
      </c>
      <c r="J28" s="87" t="b">
        <f>J27='1월_정산내역서'!H26</f>
        <v>1</v>
      </c>
      <c r="K28" s="46"/>
    </row>
    <row r="29" spans="6:11">
      <c r="H29" s="46"/>
      <c r="I29" s="46"/>
      <c r="J29" s="46"/>
      <c r="K29" s="46"/>
    </row>
  </sheetData>
  <phoneticPr fontId="5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5841-A318-40AE-AEC0-13F62C475221}">
  <sheetPr>
    <tabColor theme="0" tint="-0.249977111117893"/>
  </sheetPr>
  <dimension ref="A1:CN59"/>
  <sheetViews>
    <sheetView showGridLines="0" zoomScale="90" zoomScaleNormal="90" workbookViewId="0">
      <pane ySplit="6" topLeftCell="A7" activePane="bottomLeft" state="frozen"/>
      <selection pane="bottomLeft" activeCell="CL14" sqref="CL14"/>
    </sheetView>
  </sheetViews>
  <sheetFormatPr defaultRowHeight="16.899999999999999" outlineLevelCol="1"/>
  <cols>
    <col min="1" max="1" width="29.25" style="1" customWidth="1"/>
    <col min="2" max="2" width="8.12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4" hidden="1" customWidth="1" outlineLevel="1"/>
    <col min="10" max="10" width="7.25" style="4" hidden="1" customWidth="1" outlineLevel="1"/>
    <col min="11" max="11" width="9" style="4" hidden="1" customWidth="1" outlineLevel="1"/>
    <col min="12" max="13" width="7.5" style="4" hidden="1" customWidth="1" outlineLevel="1"/>
    <col min="14" max="15" width="7.875" style="4" hidden="1" customWidth="1" outlineLevel="1"/>
    <col min="16" max="17" width="13.875" style="4" hidden="1" customWidth="1" outlineLevel="1"/>
    <col min="18" max="18" width="4.5" style="4" hidden="1" customWidth="1" outlineLevel="1"/>
    <col min="19" max="19" width="6" style="4" hidden="1" customWidth="1" outlineLevel="1"/>
    <col min="20" max="20" width="9" style="4" hidden="1" customWidth="1" outlineLevel="1"/>
    <col min="21" max="22" width="7.5" style="4" hidden="1" customWidth="1" outlineLevel="1"/>
    <col min="23" max="24" width="7.875" style="4" hidden="1" customWidth="1" outlineLevel="1"/>
    <col min="25" max="25" width="13.875" style="4" hidden="1" customWidth="1" outlineLevel="1"/>
    <col min="26" max="26" width="18.125" style="4" hidden="1" customWidth="1" outlineLevel="1"/>
    <col min="27" max="37" width="9.375" style="4" hidden="1" customWidth="1" outlineLevel="1"/>
    <col min="38" max="38" width="8" style="4" hidden="1" customWidth="1" outlineLevel="1"/>
    <col min="39" max="41" width="9.375" style="4" hidden="1" customWidth="1" outlineLevel="1"/>
    <col min="42" max="42" width="8" style="4" hidden="1" customWidth="1" outlineLevel="1"/>
    <col min="43" max="43" width="9.375" style="4" hidden="1" customWidth="1" outlineLevel="1"/>
    <col min="44" max="44" width="8" style="4" hidden="1" customWidth="1" outlineLevel="1"/>
    <col min="45" max="49" width="9.375" style="4" hidden="1" customWidth="1" outlineLevel="1"/>
    <col min="50" max="50" width="8" style="4" hidden="1" customWidth="1" outlineLevel="1"/>
    <col min="51" max="62" width="9.375" style="4" hidden="1" customWidth="1" outlineLevel="1"/>
    <col min="63" max="63" width="8" style="4" hidden="1" customWidth="1" outlineLevel="1"/>
    <col min="64" max="64" width="9.375" style="4" hidden="1" customWidth="1" outlineLevel="1"/>
    <col min="65" max="68" width="8" style="4" hidden="1" customWidth="1" outlineLevel="1"/>
    <col min="69" max="69" width="13.375" style="4" hidden="1" customWidth="1" outlineLevel="1"/>
    <col min="70" max="70" width="15" style="4" hidden="1" customWidth="1" outlineLevel="1"/>
    <col min="71" max="71" width="12.5" style="4" customWidth="1" collapsed="1"/>
    <col min="72" max="72" width="11.25" style="1" bestFit="1" customWidth="1"/>
    <col min="73" max="73" width="12.625" style="1" bestFit="1" customWidth="1"/>
    <col min="74" max="74" width="12.375" style="1" customWidth="1"/>
    <col min="75" max="75" width="12.625" style="1" bestFit="1" customWidth="1"/>
    <col min="76" max="76" width="17.25" style="1" bestFit="1" customWidth="1"/>
    <col min="77" max="77" width="9.625" style="1" customWidth="1"/>
    <col min="78" max="78" width="12.625" style="1" bestFit="1" customWidth="1"/>
    <col min="79" max="79" width="14" style="1" bestFit="1" customWidth="1"/>
    <col min="80" max="80" width="12.625" style="4" bestFit="1" customWidth="1"/>
    <col min="81" max="81" width="12.75" style="2" bestFit="1" customWidth="1"/>
    <col min="82" max="82" width="11.5" style="1" bestFit="1" customWidth="1"/>
    <col min="83" max="83" width="23.125" style="4" bestFit="1" customWidth="1"/>
    <col min="84" max="84" width="21.25" bestFit="1" customWidth="1"/>
    <col min="85" max="85" width="6.25" bestFit="1" customWidth="1"/>
    <col min="86" max="86" width="22.75" bestFit="1" customWidth="1"/>
    <col min="87" max="87" width="12.875" bestFit="1" customWidth="1"/>
    <col min="88" max="88" width="6.25" bestFit="1" customWidth="1"/>
    <col min="89" max="89" width="13" bestFit="1" customWidth="1"/>
    <col min="90" max="90" width="11.8125" bestFit="1" customWidth="1"/>
    <col min="92" max="92" width="13" style="71" bestFit="1" customWidth="1"/>
  </cols>
  <sheetData>
    <row r="1" spans="1:90">
      <c r="A1" s="8" t="s">
        <v>65</v>
      </c>
      <c r="CH1" s="61"/>
      <c r="CI1" s="61"/>
      <c r="CJ1" s="61"/>
    </row>
    <row r="2" spans="1:90">
      <c r="CH2" s="65">
        <f>CD4-CI2</f>
        <v>0</v>
      </c>
      <c r="CI2" s="66">
        <f>SUM(CI7:CI98)</f>
        <v>594324146</v>
      </c>
      <c r="CJ2" s="67" t="b">
        <f>CI2=CD4</f>
        <v>1</v>
      </c>
    </row>
    <row r="3" spans="1:90" ht="19.5" customHeight="1">
      <c r="A3" s="105" t="s">
        <v>0</v>
      </c>
      <c r="B3" s="105"/>
      <c r="C3" s="105"/>
      <c r="D3" s="105"/>
      <c r="CB3" s="57">
        <v>0.6</v>
      </c>
      <c r="CH3" s="61"/>
      <c r="CI3" s="62"/>
      <c r="CJ3" s="61"/>
    </row>
    <row r="4" spans="1:90">
      <c r="BT4" s="47">
        <f t="shared" ref="BT4:CD4" si="0">SUBTOTAL(109,BT5:BT99784)</f>
        <v>282298800</v>
      </c>
      <c r="BU4" s="47">
        <f t="shared" si="0"/>
        <v>242120307</v>
      </c>
      <c r="BV4" s="47">
        <f t="shared" si="0"/>
        <v>153497045</v>
      </c>
      <c r="BW4" s="47">
        <f t="shared" si="0"/>
        <v>216177240</v>
      </c>
      <c r="BX4" s="47">
        <f t="shared" si="0"/>
        <v>3844320</v>
      </c>
      <c r="BY4" s="47">
        <f t="shared" si="0"/>
        <v>1257400</v>
      </c>
      <c r="BZ4" s="47">
        <f t="shared" si="0"/>
        <v>207751870</v>
      </c>
      <c r="CA4" s="47">
        <f t="shared" si="0"/>
        <v>990540242.69999993</v>
      </c>
      <c r="CB4" s="47">
        <f t="shared" si="0"/>
        <v>594324144</v>
      </c>
      <c r="CC4" s="58">
        <f t="shared" si="0"/>
        <v>2</v>
      </c>
      <c r="CD4" s="56">
        <f t="shared" si="0"/>
        <v>594324146</v>
      </c>
      <c r="CH4" s="61"/>
      <c r="CI4" s="61"/>
      <c r="CJ4" s="61"/>
    </row>
    <row r="5" spans="1:90" ht="16.5" customHeight="1">
      <c r="A5" s="103" t="s">
        <v>1</v>
      </c>
      <c r="B5" s="103" t="s">
        <v>2</v>
      </c>
      <c r="C5" s="104" t="s">
        <v>3</v>
      </c>
      <c r="D5" s="103" t="s">
        <v>4</v>
      </c>
      <c r="E5" s="103" t="s">
        <v>5</v>
      </c>
      <c r="F5" s="103" t="s">
        <v>6</v>
      </c>
      <c r="G5" s="104" t="s">
        <v>7</v>
      </c>
      <c r="H5" s="104" t="s">
        <v>8</v>
      </c>
      <c r="I5" s="102" t="s">
        <v>9</v>
      </c>
      <c r="J5" s="102"/>
      <c r="K5" s="102"/>
      <c r="L5" s="102"/>
      <c r="M5" s="102"/>
      <c r="N5" s="102"/>
      <c r="O5" s="102"/>
      <c r="P5" s="102"/>
      <c r="Q5" s="102"/>
      <c r="R5" s="100" t="s">
        <v>10</v>
      </c>
      <c r="S5" s="100"/>
      <c r="T5" s="100"/>
      <c r="U5" s="100"/>
      <c r="V5" s="100"/>
      <c r="W5" s="100"/>
      <c r="X5" s="100"/>
      <c r="Y5" s="100"/>
      <c r="Z5" s="100"/>
      <c r="AA5" s="102" t="s">
        <v>11</v>
      </c>
      <c r="AB5" s="102"/>
      <c r="AC5" s="102"/>
      <c r="AD5" s="100" t="s">
        <v>12</v>
      </c>
      <c r="AE5" s="100"/>
      <c r="AF5" s="100"/>
      <c r="AG5" s="102" t="s">
        <v>13</v>
      </c>
      <c r="AH5" s="102"/>
      <c r="AI5" s="102"/>
      <c r="AJ5" s="100" t="s">
        <v>14</v>
      </c>
      <c r="AK5" s="100"/>
      <c r="AL5" s="100"/>
      <c r="AM5" s="102" t="s">
        <v>15</v>
      </c>
      <c r="AN5" s="102"/>
      <c r="AO5" s="102"/>
      <c r="AP5" s="100" t="s">
        <v>16</v>
      </c>
      <c r="AQ5" s="100"/>
      <c r="AR5" s="100"/>
      <c r="AS5" s="102" t="s">
        <v>17</v>
      </c>
      <c r="AT5" s="102"/>
      <c r="AU5" s="102"/>
      <c r="AV5" s="100" t="s">
        <v>18</v>
      </c>
      <c r="AW5" s="100"/>
      <c r="AX5" s="100"/>
      <c r="AY5" s="102" t="s">
        <v>19</v>
      </c>
      <c r="AZ5" s="102"/>
      <c r="BA5" s="102"/>
      <c r="BB5" s="100" t="s">
        <v>20</v>
      </c>
      <c r="BC5" s="100"/>
      <c r="BD5" s="100"/>
      <c r="BE5" s="102" t="s">
        <v>21</v>
      </c>
      <c r="BF5" s="102"/>
      <c r="BG5" s="102"/>
      <c r="BH5" s="100" t="s">
        <v>22</v>
      </c>
      <c r="BI5" s="100"/>
      <c r="BJ5" s="100"/>
      <c r="BK5" s="102" t="s">
        <v>23</v>
      </c>
      <c r="BL5" s="102"/>
      <c r="BM5" s="102"/>
      <c r="BN5" s="100" t="s">
        <v>24</v>
      </c>
      <c r="BO5" s="100"/>
      <c r="BP5" s="100"/>
      <c r="BQ5" s="101" t="s">
        <v>25</v>
      </c>
      <c r="BR5" s="101" t="s">
        <v>26</v>
      </c>
      <c r="BS5" s="101" t="s">
        <v>27</v>
      </c>
      <c r="BT5" s="92" t="s">
        <v>37</v>
      </c>
      <c r="BU5" s="91" t="s">
        <v>339</v>
      </c>
      <c r="BV5" s="96" t="s">
        <v>340</v>
      </c>
      <c r="BW5" s="93" t="s">
        <v>341</v>
      </c>
      <c r="BX5" s="94" t="s">
        <v>342</v>
      </c>
      <c r="BY5" s="95" t="s">
        <v>343</v>
      </c>
      <c r="BZ5" s="97" t="s">
        <v>38</v>
      </c>
      <c r="CA5" s="98" t="s">
        <v>344</v>
      </c>
      <c r="CB5" s="98" t="s">
        <v>345</v>
      </c>
      <c r="CC5" s="98" t="s">
        <v>346</v>
      </c>
      <c r="CD5" s="98" t="s">
        <v>347</v>
      </c>
      <c r="CH5" s="61"/>
      <c r="CI5" s="61"/>
      <c r="CJ5" s="61"/>
    </row>
    <row r="6" spans="1:90" ht="27" customHeight="1">
      <c r="A6" s="103"/>
      <c r="B6" s="103"/>
      <c r="C6" s="104"/>
      <c r="D6" s="103"/>
      <c r="E6" s="103"/>
      <c r="F6" s="103"/>
      <c r="G6" s="104"/>
      <c r="H6" s="104"/>
      <c r="I6" s="7" t="s">
        <v>28</v>
      </c>
      <c r="J6" s="7" t="s">
        <v>29</v>
      </c>
      <c r="K6" s="7" t="s">
        <v>30</v>
      </c>
      <c r="L6" s="7" t="s">
        <v>31</v>
      </c>
      <c r="M6" s="7" t="s">
        <v>32</v>
      </c>
      <c r="N6" s="7" t="s">
        <v>33</v>
      </c>
      <c r="O6" s="7" t="s">
        <v>34</v>
      </c>
      <c r="P6" s="7" t="s">
        <v>35</v>
      </c>
      <c r="Q6" s="7" t="s">
        <v>36</v>
      </c>
      <c r="R6" s="7" t="s">
        <v>28</v>
      </c>
      <c r="S6" s="7" t="s">
        <v>29</v>
      </c>
      <c r="T6" s="7" t="s">
        <v>30</v>
      </c>
      <c r="U6" s="7" t="s">
        <v>31</v>
      </c>
      <c r="V6" s="7" t="s">
        <v>32</v>
      </c>
      <c r="W6" s="7" t="s">
        <v>33</v>
      </c>
      <c r="X6" s="7" t="s">
        <v>34</v>
      </c>
      <c r="Y6" s="7" t="s">
        <v>35</v>
      </c>
      <c r="Z6" s="7" t="s">
        <v>36</v>
      </c>
      <c r="AA6" s="7" t="s">
        <v>28</v>
      </c>
      <c r="AB6" s="7" t="s">
        <v>37</v>
      </c>
      <c r="AC6" s="7" t="s">
        <v>38</v>
      </c>
      <c r="AD6" s="7" t="s">
        <v>28</v>
      </c>
      <c r="AE6" s="7" t="s">
        <v>37</v>
      </c>
      <c r="AF6" s="7" t="s">
        <v>38</v>
      </c>
      <c r="AG6" s="7" t="s">
        <v>28</v>
      </c>
      <c r="AH6" s="7" t="s">
        <v>37</v>
      </c>
      <c r="AI6" s="7" t="s">
        <v>38</v>
      </c>
      <c r="AJ6" s="7" t="s">
        <v>28</v>
      </c>
      <c r="AK6" s="7" t="s">
        <v>37</v>
      </c>
      <c r="AL6" s="7" t="s">
        <v>38</v>
      </c>
      <c r="AM6" s="7" t="s">
        <v>28</v>
      </c>
      <c r="AN6" s="7" t="s">
        <v>37</v>
      </c>
      <c r="AO6" s="7" t="s">
        <v>38</v>
      </c>
      <c r="AP6" s="7" t="s">
        <v>28</v>
      </c>
      <c r="AQ6" s="7" t="s">
        <v>37</v>
      </c>
      <c r="AR6" s="7" t="s">
        <v>38</v>
      </c>
      <c r="AS6" s="7" t="s">
        <v>28</v>
      </c>
      <c r="AT6" s="7" t="s">
        <v>37</v>
      </c>
      <c r="AU6" s="7" t="s">
        <v>38</v>
      </c>
      <c r="AV6" s="7" t="s">
        <v>28</v>
      </c>
      <c r="AW6" s="7" t="s">
        <v>37</v>
      </c>
      <c r="AX6" s="7" t="s">
        <v>38</v>
      </c>
      <c r="AY6" s="7" t="s">
        <v>28</v>
      </c>
      <c r="AZ6" s="7" t="s">
        <v>37</v>
      </c>
      <c r="BA6" s="7" t="s">
        <v>38</v>
      </c>
      <c r="BB6" s="7" t="s">
        <v>28</v>
      </c>
      <c r="BC6" s="7" t="s">
        <v>37</v>
      </c>
      <c r="BD6" s="7" t="s">
        <v>38</v>
      </c>
      <c r="BE6" s="7" t="s">
        <v>28</v>
      </c>
      <c r="BF6" s="7" t="s">
        <v>37</v>
      </c>
      <c r="BG6" s="7" t="s">
        <v>38</v>
      </c>
      <c r="BH6" s="7" t="s">
        <v>28</v>
      </c>
      <c r="BI6" s="7" t="s">
        <v>37</v>
      </c>
      <c r="BJ6" s="7" t="s">
        <v>38</v>
      </c>
      <c r="BK6" s="7" t="s">
        <v>28</v>
      </c>
      <c r="BL6" s="7" t="s">
        <v>37</v>
      </c>
      <c r="BM6" s="7" t="s">
        <v>38</v>
      </c>
      <c r="BN6" s="7" t="s">
        <v>28</v>
      </c>
      <c r="BO6" s="7" t="s">
        <v>37</v>
      </c>
      <c r="BP6" s="7" t="s">
        <v>38</v>
      </c>
      <c r="BQ6" s="101"/>
      <c r="BR6" s="101"/>
      <c r="BS6" s="101"/>
      <c r="BT6" s="92"/>
      <c r="BU6" s="91"/>
      <c r="BV6" s="96"/>
      <c r="BW6" s="93"/>
      <c r="BX6" s="94"/>
      <c r="BY6" s="95"/>
      <c r="BZ6" s="97"/>
      <c r="CA6" s="99"/>
      <c r="CB6" s="99"/>
      <c r="CC6" s="99"/>
      <c r="CD6" s="99"/>
      <c r="CH6" s="61"/>
      <c r="CI6" s="61"/>
      <c r="CJ6" s="61"/>
    </row>
    <row r="7" spans="1:90">
      <c r="A7" s="68" t="s">
        <v>125</v>
      </c>
      <c r="B7" s="68">
        <v>499884</v>
      </c>
      <c r="C7" s="137"/>
      <c r="D7" s="68" t="s">
        <v>385</v>
      </c>
      <c r="E7" s="68" t="s">
        <v>171</v>
      </c>
      <c r="F7" s="68" t="s">
        <v>171</v>
      </c>
      <c r="G7" s="138" t="s">
        <v>166</v>
      </c>
      <c r="H7" s="138" t="s">
        <v>397</v>
      </c>
      <c r="I7" s="138">
        <v>0</v>
      </c>
      <c r="J7" s="138">
        <v>0</v>
      </c>
      <c r="K7" s="138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  <c r="U7" s="138">
        <v>0</v>
      </c>
      <c r="V7" s="138">
        <v>0</v>
      </c>
      <c r="W7" s="138">
        <v>0</v>
      </c>
      <c r="X7" s="138">
        <v>0</v>
      </c>
      <c r="Y7" s="138">
        <v>0</v>
      </c>
      <c r="Z7" s="138">
        <v>0</v>
      </c>
      <c r="AA7" s="139">
        <v>306206</v>
      </c>
      <c r="AB7" s="139">
        <v>32163360</v>
      </c>
      <c r="AC7" s="139">
        <v>25449894</v>
      </c>
      <c r="AD7" s="139">
        <v>17047</v>
      </c>
      <c r="AE7" s="139">
        <v>3465140</v>
      </c>
      <c r="AF7" s="139">
        <v>3177395</v>
      </c>
      <c r="AG7" s="139">
        <v>211021</v>
      </c>
      <c r="AH7" s="139">
        <v>43733023</v>
      </c>
      <c r="AI7" s="139">
        <v>5223700</v>
      </c>
      <c r="AJ7" s="139">
        <v>4753</v>
      </c>
      <c r="AK7" s="139">
        <v>1800199</v>
      </c>
      <c r="AL7" s="139">
        <v>376800</v>
      </c>
      <c r="AM7" s="139">
        <v>39091</v>
      </c>
      <c r="AN7" s="139">
        <v>7579100</v>
      </c>
      <c r="AO7" s="139">
        <v>194500</v>
      </c>
      <c r="AP7" s="139">
        <v>3431</v>
      </c>
      <c r="AQ7" s="139">
        <v>1346600</v>
      </c>
      <c r="AR7" s="139">
        <v>31200</v>
      </c>
      <c r="AS7" s="139">
        <v>78486</v>
      </c>
      <c r="AT7" s="139">
        <v>18411317</v>
      </c>
      <c r="AU7" s="139">
        <v>51400</v>
      </c>
      <c r="AV7" s="139">
        <v>3563</v>
      </c>
      <c r="AW7" s="139">
        <v>1776494</v>
      </c>
      <c r="AX7" s="139">
        <v>5900</v>
      </c>
      <c r="AY7" s="139">
        <v>124294</v>
      </c>
      <c r="AZ7" s="139">
        <v>29284680</v>
      </c>
      <c r="BA7" s="139">
        <v>73800</v>
      </c>
      <c r="BB7" s="139">
        <v>4917</v>
      </c>
      <c r="BC7" s="139">
        <v>2361600</v>
      </c>
      <c r="BD7" s="139">
        <v>10000</v>
      </c>
      <c r="BE7" s="138">
        <v>372</v>
      </c>
      <c r="BF7" s="139">
        <v>87720</v>
      </c>
      <c r="BG7" s="138">
        <v>200</v>
      </c>
      <c r="BH7" s="138">
        <v>52</v>
      </c>
      <c r="BI7" s="139">
        <v>23040</v>
      </c>
      <c r="BJ7" s="138">
        <v>0</v>
      </c>
      <c r="BK7" s="138">
        <v>416</v>
      </c>
      <c r="BL7" s="139">
        <v>81800</v>
      </c>
      <c r="BM7" s="138">
        <v>0</v>
      </c>
      <c r="BN7" s="138">
        <v>61</v>
      </c>
      <c r="BO7" s="139">
        <v>23900</v>
      </c>
      <c r="BP7" s="138">
        <v>0</v>
      </c>
      <c r="BQ7" s="138">
        <v>601</v>
      </c>
      <c r="BR7" s="140">
        <v>19888236.699999999</v>
      </c>
      <c r="BS7" s="141">
        <v>176732762</v>
      </c>
      <c r="BT7" s="52">
        <f>L7+U7+AB7+AE7+AN7+AQ7</f>
        <v>44554200</v>
      </c>
      <c r="BU7" s="44">
        <f>AH7+AK7</f>
        <v>45533222</v>
      </c>
      <c r="BV7" s="44">
        <f>AT7+AW7</f>
        <v>20187811</v>
      </c>
      <c r="BW7" s="44">
        <f>+AZ7+BC7</f>
        <v>31646280</v>
      </c>
      <c r="BX7" s="44">
        <f>BF7+BI7</f>
        <v>110760</v>
      </c>
      <c r="BY7" s="44">
        <f>+BL7+BO7</f>
        <v>105700</v>
      </c>
      <c r="BZ7" s="52">
        <f>M7+AC7+AF7+AI7+AL7+AO7+AR7+K7+AU7+AX7+BA7+BD7+BG7+BJ7+BM7+BP7</f>
        <v>34594789</v>
      </c>
      <c r="CA7" s="52">
        <f t="shared" ref="CA7:CA51" si="1">IF((BT7+BU7+BZ7+BV7+BW7+BX7+BY7)=BS7,BS7-BR7,"?""")</f>
        <v>156844525.30000001</v>
      </c>
      <c r="CB7" s="52">
        <f>ROUND(CA7*$CB$3,)</f>
        <v>94106715</v>
      </c>
      <c r="CC7" s="59">
        <v>-1</v>
      </c>
      <c r="CD7" s="53">
        <f>CB7+CC7</f>
        <v>94106714</v>
      </c>
      <c r="CE7" s="10" t="str">
        <f>A7</f>
        <v>캐슬2:만인지상</v>
      </c>
      <c r="CF7" s="60" t="str">
        <f>SUBSTITUTE(CE7," ","")</f>
        <v>캐슬2:만인지상</v>
      </c>
      <c r="CG7" s="60" t="b">
        <f>CE7=CF7</f>
        <v>1</v>
      </c>
      <c r="CH7" s="63" t="str">
        <f>CF7</f>
        <v>캐슬2:만인지상</v>
      </c>
      <c r="CI7" s="64">
        <f t="shared" ref="CI7:CI38" si="2">IFERROR(_xlfn.XLOOKUP(CH7,$CF$5:$CF$60,$CD$5:$CD$60),"")</f>
        <v>94106714</v>
      </c>
      <c r="CJ7" s="63" t="s">
        <v>348</v>
      </c>
      <c r="CK7" s="71">
        <f>SUMIFS('컨텐츠별 매출 통계'!CV:CV,'컨텐츠별 매출 통계'!A:A,'작품별 집계'!A7,'컨텐츠별 매출 통계'!CF:CF,"2026-01")</f>
        <v>94106714</v>
      </c>
      <c r="CL7" s="70">
        <f>CD7-CK7</f>
        <v>0</v>
      </c>
    </row>
    <row r="8" spans="1:90">
      <c r="A8" s="68" t="s">
        <v>152</v>
      </c>
      <c r="B8" s="68">
        <v>591197</v>
      </c>
      <c r="C8" s="137"/>
      <c r="D8" s="68" t="s">
        <v>385</v>
      </c>
      <c r="E8" s="68" t="s">
        <v>168</v>
      </c>
      <c r="F8" s="68" t="s">
        <v>169</v>
      </c>
      <c r="G8" s="138" t="s">
        <v>170</v>
      </c>
      <c r="H8" s="138" t="s">
        <v>398</v>
      </c>
      <c r="I8" s="138">
        <v>0</v>
      </c>
      <c r="J8" s="138">
        <v>0</v>
      </c>
      <c r="K8" s="138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  <c r="U8" s="138">
        <v>0</v>
      </c>
      <c r="V8" s="138">
        <v>0</v>
      </c>
      <c r="W8" s="138">
        <v>0</v>
      </c>
      <c r="X8" s="138">
        <v>0</v>
      </c>
      <c r="Y8" s="138">
        <v>0</v>
      </c>
      <c r="Z8" s="138">
        <v>0</v>
      </c>
      <c r="AA8" s="139">
        <v>194957</v>
      </c>
      <c r="AB8" s="139">
        <v>22728720</v>
      </c>
      <c r="AC8" s="139">
        <v>32372151</v>
      </c>
      <c r="AD8" s="139">
        <v>9185</v>
      </c>
      <c r="AE8" s="139">
        <v>1544500</v>
      </c>
      <c r="AF8" s="139">
        <v>2824340</v>
      </c>
      <c r="AG8" s="139">
        <v>102128</v>
      </c>
      <c r="AH8" s="139">
        <v>24081739</v>
      </c>
      <c r="AI8" s="139">
        <v>9995000</v>
      </c>
      <c r="AJ8" s="139">
        <v>2820</v>
      </c>
      <c r="AK8" s="139">
        <v>822738</v>
      </c>
      <c r="AL8" s="139">
        <v>681400</v>
      </c>
      <c r="AM8" s="139">
        <v>12552</v>
      </c>
      <c r="AN8" s="139">
        <v>3639300</v>
      </c>
      <c r="AO8" s="139">
        <v>79000</v>
      </c>
      <c r="AP8" s="139">
        <v>1463</v>
      </c>
      <c r="AQ8" s="139">
        <v>687600</v>
      </c>
      <c r="AR8" s="139">
        <v>24400</v>
      </c>
      <c r="AS8" s="139">
        <v>25467</v>
      </c>
      <c r="AT8" s="139">
        <v>8949288</v>
      </c>
      <c r="AU8" s="139">
        <v>12300</v>
      </c>
      <c r="AV8" s="138">
        <v>981</v>
      </c>
      <c r="AW8" s="139">
        <v>577633</v>
      </c>
      <c r="AX8" s="139">
        <v>3300</v>
      </c>
      <c r="AY8" s="139">
        <v>69158</v>
      </c>
      <c r="AZ8" s="139">
        <v>24264600</v>
      </c>
      <c r="BA8" s="139">
        <v>45200</v>
      </c>
      <c r="BB8" s="139">
        <v>2339</v>
      </c>
      <c r="BC8" s="139">
        <v>1368600</v>
      </c>
      <c r="BD8" s="139">
        <v>7400</v>
      </c>
      <c r="BE8" s="139">
        <v>3655</v>
      </c>
      <c r="BF8" s="139">
        <v>1276080</v>
      </c>
      <c r="BG8" s="139">
        <v>3400</v>
      </c>
      <c r="BH8" s="139">
        <v>1006</v>
      </c>
      <c r="BI8" s="139">
        <v>579600</v>
      </c>
      <c r="BJ8" s="139">
        <v>3900</v>
      </c>
      <c r="BK8" s="138">
        <v>525</v>
      </c>
      <c r="BL8" s="139">
        <v>154000</v>
      </c>
      <c r="BM8" s="138">
        <v>0</v>
      </c>
      <c r="BN8" s="138">
        <v>38</v>
      </c>
      <c r="BO8" s="139">
        <v>16800</v>
      </c>
      <c r="BP8" s="138">
        <v>0</v>
      </c>
      <c r="BQ8" s="138">
        <v>48</v>
      </c>
      <c r="BR8" s="140">
        <v>11763099.800000001</v>
      </c>
      <c r="BS8" s="141">
        <v>136742989</v>
      </c>
      <c r="BT8" s="52">
        <f t="shared" ref="BT8:BT50" si="3">L8+U8+AB8+AE8+AN8+AQ8</f>
        <v>28600120</v>
      </c>
      <c r="BU8" s="44">
        <f t="shared" ref="BU8:BU50" si="4">AH8+AK8</f>
        <v>24904477</v>
      </c>
      <c r="BV8" s="44">
        <f t="shared" ref="BV8:BV50" si="5">AT8+AW8</f>
        <v>9526921</v>
      </c>
      <c r="BW8" s="44">
        <f t="shared" ref="BW8:BW50" si="6">+AZ8+BC8</f>
        <v>25633200</v>
      </c>
      <c r="BX8" s="44">
        <f t="shared" ref="BX8:BX50" si="7">BF8+BI8</f>
        <v>1855680</v>
      </c>
      <c r="BY8" s="44">
        <f t="shared" ref="BY8:BY50" si="8">+BL8+BO8</f>
        <v>170800</v>
      </c>
      <c r="BZ8" s="52">
        <f t="shared" ref="BZ8:BZ50" si="9">M8+AC8+AF8+AI8+AL8+AO8+AR8+K8+AU8+AX8+BA8+BD8+BG8+BJ8+BM8+BP8</f>
        <v>46051791</v>
      </c>
      <c r="CA8" s="52">
        <f t="shared" si="1"/>
        <v>124979889.2</v>
      </c>
      <c r="CB8" s="52">
        <f t="shared" ref="CB8:CB51" si="10">ROUND(CA8*$CB$3,)</f>
        <v>74987934</v>
      </c>
      <c r="CC8" s="59">
        <v>-1</v>
      </c>
      <c r="CD8" s="53">
        <f t="shared" ref="CD8:CD53" si="11">CB8+CC8</f>
        <v>74987933</v>
      </c>
      <c r="CE8" s="10" t="str">
        <f t="shared" ref="CE8:CE55" si="12">A8</f>
        <v>개짓</v>
      </c>
      <c r="CF8" s="60" t="str">
        <f t="shared" ref="CF8:CF53" si="13">SUBSTITUTE(CE8," ","")</f>
        <v>개짓</v>
      </c>
      <c r="CG8" s="60" t="b">
        <f t="shared" ref="CG8:CG53" si="14">CE8=CF8</f>
        <v>1</v>
      </c>
      <c r="CH8" s="63" t="str">
        <f t="shared" ref="CH8:CH55" si="15">CF8</f>
        <v>개짓</v>
      </c>
      <c r="CI8" s="64">
        <f t="shared" si="2"/>
        <v>74987933</v>
      </c>
      <c r="CJ8" s="63" t="s">
        <v>348</v>
      </c>
      <c r="CK8" s="71">
        <f>SUMIFS('컨텐츠별 매출 통계'!CV:CV,'컨텐츠별 매출 통계'!A:A,'작품별 집계'!A8,'컨텐츠별 매출 통계'!CF:CF,"2026-01")</f>
        <v>74987933</v>
      </c>
      <c r="CL8" s="70">
        <f t="shared" ref="CL8:CL55" si="16">CD8-CK8</f>
        <v>0</v>
      </c>
    </row>
    <row r="9" spans="1:90">
      <c r="A9" s="68" t="s">
        <v>104</v>
      </c>
      <c r="B9" s="68">
        <v>450111</v>
      </c>
      <c r="C9" s="137"/>
      <c r="D9" s="68" t="s">
        <v>385</v>
      </c>
      <c r="E9" s="68" t="s">
        <v>164</v>
      </c>
      <c r="F9" s="68" t="s">
        <v>165</v>
      </c>
      <c r="G9" s="138" t="s">
        <v>166</v>
      </c>
      <c r="H9" s="138" t="s">
        <v>399</v>
      </c>
      <c r="I9" s="138">
        <v>0</v>
      </c>
      <c r="J9" s="138">
        <v>0</v>
      </c>
      <c r="K9" s="138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  <c r="U9" s="138">
        <v>0</v>
      </c>
      <c r="V9" s="138">
        <v>0</v>
      </c>
      <c r="W9" s="138">
        <v>0</v>
      </c>
      <c r="X9" s="138">
        <v>0</v>
      </c>
      <c r="Y9" s="138">
        <v>0</v>
      </c>
      <c r="Z9" s="138">
        <v>0</v>
      </c>
      <c r="AA9" s="139">
        <v>145624</v>
      </c>
      <c r="AB9" s="139">
        <v>26786900</v>
      </c>
      <c r="AC9" s="139">
        <v>14597645</v>
      </c>
      <c r="AD9" s="139">
        <v>1163</v>
      </c>
      <c r="AE9" s="139">
        <v>404700</v>
      </c>
      <c r="AF9" s="139">
        <v>222595</v>
      </c>
      <c r="AG9" s="139">
        <v>99665</v>
      </c>
      <c r="AH9" s="139">
        <v>32538269</v>
      </c>
      <c r="AI9" s="139">
        <v>2524900</v>
      </c>
      <c r="AJ9" s="138">
        <v>264</v>
      </c>
      <c r="AK9" s="139">
        <v>134870</v>
      </c>
      <c r="AL9" s="139">
        <v>17500</v>
      </c>
      <c r="AM9" s="139">
        <v>28457</v>
      </c>
      <c r="AN9" s="139">
        <v>8306200</v>
      </c>
      <c r="AO9" s="139">
        <v>184900</v>
      </c>
      <c r="AP9" s="138">
        <v>454</v>
      </c>
      <c r="AQ9" s="139">
        <v>225300</v>
      </c>
      <c r="AR9" s="139">
        <v>8000</v>
      </c>
      <c r="AS9" s="139">
        <v>66618</v>
      </c>
      <c r="AT9" s="139">
        <v>23429770</v>
      </c>
      <c r="AU9" s="139">
        <v>66400</v>
      </c>
      <c r="AV9" s="138">
        <v>402</v>
      </c>
      <c r="AW9" s="139">
        <v>245363</v>
      </c>
      <c r="AX9" s="138">
        <v>100</v>
      </c>
      <c r="AY9" s="139">
        <v>68566</v>
      </c>
      <c r="AZ9" s="139">
        <v>24232560</v>
      </c>
      <c r="BA9" s="139">
        <v>69300</v>
      </c>
      <c r="BB9" s="138">
        <v>416</v>
      </c>
      <c r="BC9" s="139">
        <v>253320</v>
      </c>
      <c r="BD9" s="139">
        <v>1400</v>
      </c>
      <c r="BE9" s="138">
        <v>283</v>
      </c>
      <c r="BF9" s="139">
        <v>97800</v>
      </c>
      <c r="BG9" s="138">
        <v>600</v>
      </c>
      <c r="BH9" s="138">
        <v>28</v>
      </c>
      <c r="BI9" s="139">
        <v>15960</v>
      </c>
      <c r="BJ9" s="138">
        <v>500</v>
      </c>
      <c r="BK9" s="138">
        <v>408</v>
      </c>
      <c r="BL9" s="139">
        <v>119300</v>
      </c>
      <c r="BM9" s="138">
        <v>0</v>
      </c>
      <c r="BN9" s="138">
        <v>5</v>
      </c>
      <c r="BO9" s="139">
        <v>2200</v>
      </c>
      <c r="BP9" s="138">
        <v>0</v>
      </c>
      <c r="BQ9" s="138">
        <v>423</v>
      </c>
      <c r="BR9" s="140">
        <v>15472190.300000001</v>
      </c>
      <c r="BS9" s="141">
        <v>134486352</v>
      </c>
      <c r="BT9" s="52">
        <f t="shared" si="3"/>
        <v>35723100</v>
      </c>
      <c r="BU9" s="44">
        <f t="shared" si="4"/>
        <v>32673139</v>
      </c>
      <c r="BV9" s="44">
        <f t="shared" si="5"/>
        <v>23675133</v>
      </c>
      <c r="BW9" s="44">
        <f t="shared" si="6"/>
        <v>24485880</v>
      </c>
      <c r="BX9" s="44">
        <f t="shared" si="7"/>
        <v>113760</v>
      </c>
      <c r="BY9" s="44">
        <f t="shared" si="8"/>
        <v>121500</v>
      </c>
      <c r="BZ9" s="52">
        <f t="shared" si="9"/>
        <v>17693840</v>
      </c>
      <c r="CA9" s="52">
        <f t="shared" si="1"/>
        <v>119014161.7</v>
      </c>
      <c r="CB9" s="52">
        <f t="shared" si="10"/>
        <v>71408497</v>
      </c>
      <c r="CC9" s="59"/>
      <c r="CD9" s="53">
        <f t="shared" si="11"/>
        <v>71408497</v>
      </c>
      <c r="CE9" s="10" t="str">
        <f t="shared" si="12"/>
        <v>김부장</v>
      </c>
      <c r="CF9" s="60" t="str">
        <f t="shared" si="13"/>
        <v>김부장</v>
      </c>
      <c r="CG9" s="60" t="b">
        <f t="shared" si="14"/>
        <v>1</v>
      </c>
      <c r="CH9" s="63" t="str">
        <f t="shared" si="15"/>
        <v>김부장</v>
      </c>
      <c r="CI9" s="64">
        <f t="shared" si="2"/>
        <v>71408497</v>
      </c>
      <c r="CJ9" s="63" t="s">
        <v>348</v>
      </c>
      <c r="CK9" s="71">
        <f>SUMIFS('컨텐츠별 매출 통계'!CV:CV,'컨텐츠별 매출 통계'!A:A,'작품별 집계'!A9,'컨텐츠별 매출 통계'!CF:CF,"2026-01")</f>
        <v>71408497</v>
      </c>
      <c r="CL9" s="70">
        <f t="shared" si="16"/>
        <v>0</v>
      </c>
    </row>
    <row r="10" spans="1:90">
      <c r="A10" s="68" t="s">
        <v>381</v>
      </c>
      <c r="B10" s="68">
        <v>666996</v>
      </c>
      <c r="C10" s="137"/>
      <c r="D10" s="68" t="s">
        <v>385</v>
      </c>
      <c r="E10" s="68" t="s">
        <v>169</v>
      </c>
      <c r="F10" s="68" t="s">
        <v>169</v>
      </c>
      <c r="G10" s="138" t="s">
        <v>170</v>
      </c>
      <c r="H10" s="138" t="s">
        <v>400</v>
      </c>
      <c r="I10" s="138">
        <v>15</v>
      </c>
      <c r="J10" s="139">
        <v>848574</v>
      </c>
      <c r="K10" s="139">
        <v>4500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  <c r="U10" s="138">
        <v>0</v>
      </c>
      <c r="V10" s="138">
        <v>0</v>
      </c>
      <c r="W10" s="138">
        <v>0</v>
      </c>
      <c r="X10" s="138">
        <v>0</v>
      </c>
      <c r="Y10" s="138">
        <v>0</v>
      </c>
      <c r="Z10" s="138">
        <v>0</v>
      </c>
      <c r="AA10" s="139">
        <v>140378</v>
      </c>
      <c r="AB10" s="139">
        <v>15196760</v>
      </c>
      <c r="AC10" s="139">
        <v>24742409</v>
      </c>
      <c r="AD10" s="139">
        <v>2176</v>
      </c>
      <c r="AE10" s="139">
        <v>469000</v>
      </c>
      <c r="AF10" s="139">
        <v>595295</v>
      </c>
      <c r="AG10" s="139">
        <v>73479</v>
      </c>
      <c r="AH10" s="139">
        <v>18403607</v>
      </c>
      <c r="AI10" s="139">
        <v>6468700</v>
      </c>
      <c r="AJ10" s="138">
        <v>702</v>
      </c>
      <c r="AK10" s="139">
        <v>299995</v>
      </c>
      <c r="AL10" s="139">
        <v>93200</v>
      </c>
      <c r="AM10" s="139">
        <v>11663</v>
      </c>
      <c r="AN10" s="139">
        <v>3394000</v>
      </c>
      <c r="AO10" s="139">
        <v>70800</v>
      </c>
      <c r="AP10" s="138">
        <v>627</v>
      </c>
      <c r="AQ10" s="139">
        <v>308400</v>
      </c>
      <c r="AR10" s="139">
        <v>9400</v>
      </c>
      <c r="AS10" s="139">
        <v>27788</v>
      </c>
      <c r="AT10" s="139">
        <v>9821041</v>
      </c>
      <c r="AU10" s="139">
        <v>33800</v>
      </c>
      <c r="AV10" s="138">
        <v>418</v>
      </c>
      <c r="AW10" s="139">
        <v>245155</v>
      </c>
      <c r="AX10" s="139">
        <v>3000</v>
      </c>
      <c r="AY10" s="139">
        <v>81356</v>
      </c>
      <c r="AZ10" s="139">
        <v>28702560</v>
      </c>
      <c r="BA10" s="139">
        <v>104500</v>
      </c>
      <c r="BB10" s="138">
        <v>901</v>
      </c>
      <c r="BC10" s="139">
        <v>536040</v>
      </c>
      <c r="BD10" s="139">
        <v>4600</v>
      </c>
      <c r="BE10" s="139">
        <v>2612</v>
      </c>
      <c r="BF10" s="139">
        <v>912360</v>
      </c>
      <c r="BG10" s="139">
        <v>4300</v>
      </c>
      <c r="BH10" s="138">
        <v>517</v>
      </c>
      <c r="BI10" s="139">
        <v>302400</v>
      </c>
      <c r="BJ10" s="139">
        <v>1700</v>
      </c>
      <c r="BK10" s="138">
        <v>489</v>
      </c>
      <c r="BL10" s="139">
        <v>143100</v>
      </c>
      <c r="BM10" s="138">
        <v>0</v>
      </c>
      <c r="BN10" s="138">
        <v>5</v>
      </c>
      <c r="BO10" s="139">
        <v>2000</v>
      </c>
      <c r="BP10" s="138">
        <v>0</v>
      </c>
      <c r="BQ10" s="138">
        <v>129</v>
      </c>
      <c r="BR10" s="140">
        <v>9949160.9000000004</v>
      </c>
      <c r="BS10" s="141">
        <v>110872622</v>
      </c>
      <c r="BT10" s="52">
        <f t="shared" si="3"/>
        <v>19368160</v>
      </c>
      <c r="BU10" s="44">
        <f t="shared" si="4"/>
        <v>18703602</v>
      </c>
      <c r="BV10" s="44">
        <f t="shared" si="5"/>
        <v>10066196</v>
      </c>
      <c r="BW10" s="44">
        <f t="shared" si="6"/>
        <v>29238600</v>
      </c>
      <c r="BX10" s="44">
        <f t="shared" si="7"/>
        <v>1214760</v>
      </c>
      <c r="BY10" s="44">
        <f t="shared" si="8"/>
        <v>145100</v>
      </c>
      <c r="BZ10" s="52">
        <f t="shared" si="9"/>
        <v>32136204</v>
      </c>
      <c r="CA10" s="52">
        <f t="shared" si="1"/>
        <v>100923461.09999999</v>
      </c>
      <c r="CB10" s="52">
        <f t="shared" si="10"/>
        <v>60554077</v>
      </c>
      <c r="CC10" s="59"/>
      <c r="CD10" s="53">
        <f t="shared" si="11"/>
        <v>60554077</v>
      </c>
      <c r="CE10" s="10" t="str">
        <f t="shared" si="12"/>
        <v>밤친구</v>
      </c>
      <c r="CF10" s="60" t="str">
        <f t="shared" si="13"/>
        <v>밤친구</v>
      </c>
      <c r="CG10" s="60" t="b">
        <f t="shared" si="14"/>
        <v>1</v>
      </c>
      <c r="CH10" s="63" t="str">
        <f t="shared" si="15"/>
        <v>밤친구</v>
      </c>
      <c r="CI10" s="64">
        <f t="shared" si="2"/>
        <v>60554077</v>
      </c>
      <c r="CJ10" s="63" t="s">
        <v>348</v>
      </c>
      <c r="CK10" s="71">
        <f>SUMIFS('컨텐츠별 매출 통계'!CV:CV,'컨텐츠별 매출 통계'!A:A,'작품별 집계'!A10,'컨텐츠별 매출 통계'!CF:CF,"2026-01")</f>
        <v>60554077</v>
      </c>
      <c r="CL10" s="70">
        <f t="shared" si="16"/>
        <v>0</v>
      </c>
    </row>
    <row r="11" spans="1:90">
      <c r="A11" s="68" t="s">
        <v>127</v>
      </c>
      <c r="B11" s="68">
        <v>499170</v>
      </c>
      <c r="C11" s="137"/>
      <c r="D11" s="68" t="s">
        <v>385</v>
      </c>
      <c r="E11" s="68" t="s">
        <v>175</v>
      </c>
      <c r="F11" s="68" t="s">
        <v>165</v>
      </c>
      <c r="G11" s="138" t="s">
        <v>166</v>
      </c>
      <c r="H11" s="138" t="s">
        <v>401</v>
      </c>
      <c r="I11" s="138">
        <v>0</v>
      </c>
      <c r="J11" s="138">
        <v>0</v>
      </c>
      <c r="K11" s="138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  <c r="U11" s="138">
        <v>0</v>
      </c>
      <c r="V11" s="138">
        <v>0</v>
      </c>
      <c r="W11" s="138">
        <v>0</v>
      </c>
      <c r="X11" s="138">
        <v>0</v>
      </c>
      <c r="Y11" s="138">
        <v>0</v>
      </c>
      <c r="Z11" s="138">
        <v>0</v>
      </c>
      <c r="AA11" s="139">
        <v>93908</v>
      </c>
      <c r="AB11" s="139">
        <v>17883900</v>
      </c>
      <c r="AC11" s="139">
        <v>8896936</v>
      </c>
      <c r="AD11" s="138">
        <v>821</v>
      </c>
      <c r="AE11" s="139">
        <v>199400</v>
      </c>
      <c r="AF11" s="139">
        <v>124160</v>
      </c>
      <c r="AG11" s="139">
        <v>53601</v>
      </c>
      <c r="AH11" s="139">
        <v>17490967</v>
      </c>
      <c r="AI11" s="139">
        <v>1372600</v>
      </c>
      <c r="AJ11" s="138">
        <v>102</v>
      </c>
      <c r="AK11" s="139">
        <v>39469</v>
      </c>
      <c r="AL11" s="139">
        <v>7900</v>
      </c>
      <c r="AM11" s="139">
        <v>28033</v>
      </c>
      <c r="AN11" s="139">
        <v>8159800</v>
      </c>
      <c r="AO11" s="139">
        <v>199900</v>
      </c>
      <c r="AP11" s="138">
        <v>472</v>
      </c>
      <c r="AQ11" s="139">
        <v>196100</v>
      </c>
      <c r="AR11" s="139">
        <v>7200</v>
      </c>
      <c r="AS11" s="139">
        <v>36030</v>
      </c>
      <c r="AT11" s="139">
        <v>12722505</v>
      </c>
      <c r="AU11" s="139">
        <v>39900</v>
      </c>
      <c r="AV11" s="138">
        <v>174</v>
      </c>
      <c r="AW11" s="139">
        <v>86852</v>
      </c>
      <c r="AX11" s="139">
        <v>1000</v>
      </c>
      <c r="AY11" s="139">
        <v>41653</v>
      </c>
      <c r="AZ11" s="139">
        <v>14752200</v>
      </c>
      <c r="BA11" s="139">
        <v>42400</v>
      </c>
      <c r="BB11" s="138">
        <v>185</v>
      </c>
      <c r="BC11" s="139">
        <v>90240</v>
      </c>
      <c r="BD11" s="138">
        <v>0</v>
      </c>
      <c r="BE11" s="138">
        <v>114</v>
      </c>
      <c r="BF11" s="139">
        <v>40080</v>
      </c>
      <c r="BG11" s="138">
        <v>0</v>
      </c>
      <c r="BH11" s="138">
        <v>3</v>
      </c>
      <c r="BI11" s="139">
        <v>1440</v>
      </c>
      <c r="BJ11" s="138">
        <v>0</v>
      </c>
      <c r="BK11" s="138">
        <v>140</v>
      </c>
      <c r="BL11" s="139">
        <v>40800</v>
      </c>
      <c r="BM11" s="138">
        <v>0</v>
      </c>
      <c r="BN11" s="138">
        <v>1</v>
      </c>
      <c r="BO11" s="138">
        <v>400</v>
      </c>
      <c r="BP11" s="138">
        <v>0</v>
      </c>
      <c r="BQ11" s="138">
        <v>257</v>
      </c>
      <c r="BR11" s="140">
        <v>8678556</v>
      </c>
      <c r="BS11" s="141">
        <v>82396149</v>
      </c>
      <c r="BT11" s="52">
        <f t="shared" si="3"/>
        <v>26439200</v>
      </c>
      <c r="BU11" s="44">
        <f t="shared" si="4"/>
        <v>17530436</v>
      </c>
      <c r="BV11" s="44">
        <f t="shared" si="5"/>
        <v>12809357</v>
      </c>
      <c r="BW11" s="44">
        <f t="shared" si="6"/>
        <v>14842440</v>
      </c>
      <c r="BX11" s="44">
        <f t="shared" si="7"/>
        <v>41520</v>
      </c>
      <c r="BY11" s="44">
        <f t="shared" si="8"/>
        <v>41200</v>
      </c>
      <c r="BZ11" s="52">
        <f t="shared" si="9"/>
        <v>10691996</v>
      </c>
      <c r="CA11" s="52">
        <f t="shared" si="1"/>
        <v>73717593</v>
      </c>
      <c r="CB11" s="52">
        <f t="shared" si="10"/>
        <v>44230556</v>
      </c>
      <c r="CC11" s="59"/>
      <c r="CD11" s="53">
        <f t="shared" si="11"/>
        <v>44230556</v>
      </c>
      <c r="CE11" s="10" t="str">
        <f t="shared" si="12"/>
        <v>왕따가 격투기를 너무 잘함</v>
      </c>
      <c r="CF11" s="60" t="str">
        <f t="shared" si="13"/>
        <v>왕따가격투기를너무잘함</v>
      </c>
      <c r="CG11" s="60" t="b">
        <f t="shared" si="14"/>
        <v>0</v>
      </c>
      <c r="CH11" s="63" t="str">
        <f t="shared" si="15"/>
        <v>왕따가격투기를너무잘함</v>
      </c>
      <c r="CI11" s="64">
        <f t="shared" si="2"/>
        <v>44230556</v>
      </c>
      <c r="CJ11" s="63" t="s">
        <v>348</v>
      </c>
      <c r="CK11" s="71">
        <f>SUMIFS('컨텐츠별 매출 통계'!CV:CV,'컨텐츠별 매출 통계'!A:A,'작품별 집계'!A11,'컨텐츠별 매출 통계'!CF:CF,"2026-01")</f>
        <v>44230556</v>
      </c>
      <c r="CL11" s="70">
        <f t="shared" si="16"/>
        <v>0</v>
      </c>
    </row>
    <row r="12" spans="1:90">
      <c r="A12" s="68" t="s">
        <v>349</v>
      </c>
      <c r="B12" s="68">
        <v>645729</v>
      </c>
      <c r="C12" s="137"/>
      <c r="D12" s="68" t="s">
        <v>385</v>
      </c>
      <c r="E12" s="68" t="s">
        <v>350</v>
      </c>
      <c r="F12" s="68" t="s">
        <v>351</v>
      </c>
      <c r="G12" s="138" t="s">
        <v>166</v>
      </c>
      <c r="H12" s="138" t="s">
        <v>398</v>
      </c>
      <c r="I12" s="138">
        <v>0</v>
      </c>
      <c r="J12" s="138">
        <v>0</v>
      </c>
      <c r="K12" s="138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  <c r="U12" s="138">
        <v>0</v>
      </c>
      <c r="V12" s="138">
        <v>0</v>
      </c>
      <c r="W12" s="138">
        <v>0</v>
      </c>
      <c r="X12" s="138">
        <v>0</v>
      </c>
      <c r="Y12" s="138">
        <v>0</v>
      </c>
      <c r="Z12" s="138">
        <v>0</v>
      </c>
      <c r="AA12" s="139">
        <v>78192</v>
      </c>
      <c r="AB12" s="139">
        <v>15758440</v>
      </c>
      <c r="AC12" s="139">
        <v>6915430</v>
      </c>
      <c r="AD12" s="139">
        <v>1174</v>
      </c>
      <c r="AE12" s="139">
        <v>349100</v>
      </c>
      <c r="AF12" s="139">
        <v>134025</v>
      </c>
      <c r="AG12" s="139">
        <v>36549</v>
      </c>
      <c r="AH12" s="139">
        <v>11729084</v>
      </c>
      <c r="AI12" s="139">
        <v>1149000</v>
      </c>
      <c r="AJ12" s="138">
        <v>180</v>
      </c>
      <c r="AK12" s="139">
        <v>67372</v>
      </c>
      <c r="AL12" s="139">
        <v>15400</v>
      </c>
      <c r="AM12" s="139">
        <v>28242</v>
      </c>
      <c r="AN12" s="139">
        <v>8242000</v>
      </c>
      <c r="AO12" s="139">
        <v>193300</v>
      </c>
      <c r="AP12" s="138">
        <v>752</v>
      </c>
      <c r="AQ12" s="139">
        <v>326600</v>
      </c>
      <c r="AR12" s="139">
        <v>9000</v>
      </c>
      <c r="AS12" s="139">
        <v>34524</v>
      </c>
      <c r="AT12" s="139">
        <v>12237208</v>
      </c>
      <c r="AU12" s="139">
        <v>39900</v>
      </c>
      <c r="AV12" s="138">
        <v>238</v>
      </c>
      <c r="AW12" s="139">
        <v>135936</v>
      </c>
      <c r="AX12" s="138">
        <v>0</v>
      </c>
      <c r="AY12" s="139">
        <v>43550</v>
      </c>
      <c r="AZ12" s="139">
        <v>15514200</v>
      </c>
      <c r="BA12" s="139">
        <v>38500</v>
      </c>
      <c r="BB12" s="138">
        <v>295</v>
      </c>
      <c r="BC12" s="139">
        <v>153360</v>
      </c>
      <c r="BD12" s="138">
        <v>400</v>
      </c>
      <c r="BE12" s="138">
        <v>174</v>
      </c>
      <c r="BF12" s="139">
        <v>62040</v>
      </c>
      <c r="BG12" s="138">
        <v>0</v>
      </c>
      <c r="BH12" s="138">
        <v>16</v>
      </c>
      <c r="BI12" s="139">
        <v>7680</v>
      </c>
      <c r="BJ12" s="138">
        <v>0</v>
      </c>
      <c r="BK12" s="138">
        <v>223</v>
      </c>
      <c r="BL12" s="139">
        <v>65900</v>
      </c>
      <c r="BM12" s="138">
        <v>0</v>
      </c>
      <c r="BN12" s="138">
        <v>6</v>
      </c>
      <c r="BO12" s="139">
        <v>2200</v>
      </c>
      <c r="BP12" s="138">
        <v>0</v>
      </c>
      <c r="BQ12" s="138">
        <v>36</v>
      </c>
      <c r="BR12" s="140">
        <v>6942407.2999999998</v>
      </c>
      <c r="BS12" s="141">
        <v>73146075</v>
      </c>
      <c r="BT12" s="52">
        <f t="shared" si="3"/>
        <v>24676140</v>
      </c>
      <c r="BU12" s="44">
        <f t="shared" si="4"/>
        <v>11796456</v>
      </c>
      <c r="BV12" s="44">
        <f t="shared" si="5"/>
        <v>12373144</v>
      </c>
      <c r="BW12" s="44">
        <f t="shared" si="6"/>
        <v>15667560</v>
      </c>
      <c r="BX12" s="44">
        <f t="shared" si="7"/>
        <v>69720</v>
      </c>
      <c r="BY12" s="44">
        <f t="shared" si="8"/>
        <v>68100</v>
      </c>
      <c r="BZ12" s="52">
        <f t="shared" si="9"/>
        <v>8494955</v>
      </c>
      <c r="CA12" s="52">
        <f t="shared" si="1"/>
        <v>66203667.700000003</v>
      </c>
      <c r="CB12" s="52">
        <f t="shared" si="10"/>
        <v>39722201</v>
      </c>
      <c r="CC12" s="59"/>
      <c r="CD12" s="53">
        <f t="shared" si="11"/>
        <v>39722201</v>
      </c>
      <c r="CE12" s="10" t="str">
        <f t="shared" si="12"/>
        <v>태존비록</v>
      </c>
      <c r="CF12" s="60" t="str">
        <f t="shared" si="13"/>
        <v>태존비록</v>
      </c>
      <c r="CG12" s="60" t="b">
        <f t="shared" si="14"/>
        <v>1</v>
      </c>
      <c r="CH12" s="63" t="str">
        <f t="shared" si="15"/>
        <v>태존비록</v>
      </c>
      <c r="CI12" s="64">
        <f t="shared" si="2"/>
        <v>39722201</v>
      </c>
      <c r="CJ12" s="63" t="s">
        <v>348</v>
      </c>
      <c r="CK12" s="71">
        <f>SUMIFS('컨텐츠별 매출 통계'!CV:CV,'컨텐츠별 매출 통계'!A:A,'작품별 집계'!A12,'컨텐츠별 매출 통계'!CF:CF,"2026-01")</f>
        <v>39722201</v>
      </c>
      <c r="CL12" s="70">
        <f t="shared" si="16"/>
        <v>0</v>
      </c>
    </row>
    <row r="13" spans="1:90">
      <c r="A13" s="68" t="s">
        <v>358</v>
      </c>
      <c r="B13" s="68">
        <v>656399</v>
      </c>
      <c r="C13" s="137"/>
      <c r="D13" s="68" t="s">
        <v>385</v>
      </c>
      <c r="E13" s="68" t="s">
        <v>359</v>
      </c>
      <c r="F13" s="68" t="s">
        <v>359</v>
      </c>
      <c r="G13" s="138" t="s">
        <v>170</v>
      </c>
      <c r="H13" s="138" t="s">
        <v>400</v>
      </c>
      <c r="I13" s="138">
        <v>0</v>
      </c>
      <c r="J13" s="138">
        <v>0</v>
      </c>
      <c r="K13" s="138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  <c r="U13" s="138">
        <v>0</v>
      </c>
      <c r="V13" s="138">
        <v>0</v>
      </c>
      <c r="W13" s="138">
        <v>0</v>
      </c>
      <c r="X13" s="138">
        <v>0</v>
      </c>
      <c r="Y13" s="138">
        <v>0</v>
      </c>
      <c r="Z13" s="138">
        <v>0</v>
      </c>
      <c r="AA13" s="139">
        <v>128253</v>
      </c>
      <c r="AB13" s="139">
        <v>12331700</v>
      </c>
      <c r="AC13" s="139">
        <v>12011989</v>
      </c>
      <c r="AD13" s="138">
        <v>224</v>
      </c>
      <c r="AE13" s="139">
        <v>31400</v>
      </c>
      <c r="AF13" s="139">
        <v>38055</v>
      </c>
      <c r="AG13" s="139">
        <v>93878</v>
      </c>
      <c r="AH13" s="139">
        <v>17745372</v>
      </c>
      <c r="AI13" s="139">
        <v>3896800</v>
      </c>
      <c r="AJ13" s="138">
        <v>25</v>
      </c>
      <c r="AK13" s="139">
        <v>3600</v>
      </c>
      <c r="AL13" s="139">
        <v>4000</v>
      </c>
      <c r="AM13" s="139">
        <v>15373</v>
      </c>
      <c r="AN13" s="139">
        <v>2988800</v>
      </c>
      <c r="AO13" s="139">
        <v>73500</v>
      </c>
      <c r="AP13" s="138">
        <v>96</v>
      </c>
      <c r="AQ13" s="139">
        <v>30300</v>
      </c>
      <c r="AR13" s="138">
        <v>600</v>
      </c>
      <c r="AS13" s="139">
        <v>28018</v>
      </c>
      <c r="AT13" s="139">
        <v>6618057</v>
      </c>
      <c r="AU13" s="139">
        <v>20300</v>
      </c>
      <c r="AV13" s="138">
        <v>55</v>
      </c>
      <c r="AW13" s="139">
        <v>22360</v>
      </c>
      <c r="AX13" s="138">
        <v>200</v>
      </c>
      <c r="AY13" s="139">
        <v>46286</v>
      </c>
      <c r="AZ13" s="139">
        <v>10959600</v>
      </c>
      <c r="BA13" s="139">
        <v>31400</v>
      </c>
      <c r="BB13" s="138">
        <v>80</v>
      </c>
      <c r="BC13" s="139">
        <v>47880</v>
      </c>
      <c r="BD13" s="138">
        <v>300</v>
      </c>
      <c r="BE13" s="138">
        <v>94</v>
      </c>
      <c r="BF13" s="139">
        <v>21960</v>
      </c>
      <c r="BG13" s="138">
        <v>0</v>
      </c>
      <c r="BH13" s="138">
        <v>1</v>
      </c>
      <c r="BI13" s="139">
        <v>1080</v>
      </c>
      <c r="BJ13" s="138">
        <v>0</v>
      </c>
      <c r="BK13" s="138">
        <v>282</v>
      </c>
      <c r="BL13" s="139">
        <v>56200</v>
      </c>
      <c r="BM13" s="138">
        <v>0</v>
      </c>
      <c r="BN13" s="138">
        <v>0</v>
      </c>
      <c r="BO13" s="138">
        <v>0</v>
      </c>
      <c r="BP13" s="138">
        <v>0</v>
      </c>
      <c r="BQ13" s="138">
        <v>102</v>
      </c>
      <c r="BR13" s="140">
        <v>7451142.5999999996</v>
      </c>
      <c r="BS13" s="141">
        <v>66935453</v>
      </c>
      <c r="BT13" s="52">
        <f t="shared" si="3"/>
        <v>15382200</v>
      </c>
      <c r="BU13" s="44">
        <f t="shared" si="4"/>
        <v>17748972</v>
      </c>
      <c r="BV13" s="44">
        <f t="shared" si="5"/>
        <v>6640417</v>
      </c>
      <c r="BW13" s="44">
        <f t="shared" si="6"/>
        <v>11007480</v>
      </c>
      <c r="BX13" s="44">
        <f t="shared" si="7"/>
        <v>23040</v>
      </c>
      <c r="BY13" s="44">
        <f t="shared" si="8"/>
        <v>56200</v>
      </c>
      <c r="BZ13" s="52">
        <f t="shared" si="9"/>
        <v>16077144</v>
      </c>
      <c r="CA13" s="52">
        <f t="shared" si="1"/>
        <v>59484310.399999999</v>
      </c>
      <c r="CB13" s="52">
        <f t="shared" si="10"/>
        <v>35690586</v>
      </c>
      <c r="CC13" s="59"/>
      <c r="CD13" s="53">
        <f t="shared" si="11"/>
        <v>35690586</v>
      </c>
      <c r="CE13" s="10" t="str">
        <f t="shared" si="12"/>
        <v>오! 나의 교주님</v>
      </c>
      <c r="CF13" s="60" t="str">
        <f t="shared" si="13"/>
        <v>오!나의교주님</v>
      </c>
      <c r="CG13" s="60" t="b">
        <f t="shared" si="14"/>
        <v>0</v>
      </c>
      <c r="CH13" s="63" t="str">
        <f t="shared" si="15"/>
        <v>오!나의교주님</v>
      </c>
      <c r="CI13" s="64">
        <f t="shared" si="2"/>
        <v>35690586</v>
      </c>
      <c r="CJ13" s="63" t="s">
        <v>348</v>
      </c>
      <c r="CK13" s="71">
        <f>SUMIFS('컨텐츠별 매출 통계'!CV:CV,'컨텐츠별 매출 통계'!A:A,'작품별 집계'!A13,'컨텐츠별 매출 통계'!CF:CF,"2026-01")</f>
        <v>35690586</v>
      </c>
      <c r="CL13" s="70">
        <f t="shared" si="16"/>
        <v>0</v>
      </c>
    </row>
    <row r="14" spans="1:90">
      <c r="A14" s="68" t="s">
        <v>148</v>
      </c>
      <c r="B14" s="68">
        <v>577640</v>
      </c>
      <c r="C14" s="137"/>
      <c r="D14" s="68" t="s">
        <v>385</v>
      </c>
      <c r="E14" s="68" t="s">
        <v>169</v>
      </c>
      <c r="F14" s="68" t="s">
        <v>169</v>
      </c>
      <c r="G14" s="138" t="s">
        <v>170</v>
      </c>
      <c r="H14" s="138" t="s">
        <v>402</v>
      </c>
      <c r="I14" s="138">
        <v>0</v>
      </c>
      <c r="J14" s="138">
        <v>0</v>
      </c>
      <c r="K14" s="138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  <c r="U14" s="138">
        <v>0</v>
      </c>
      <c r="V14" s="138">
        <v>0</v>
      </c>
      <c r="W14" s="138">
        <v>0</v>
      </c>
      <c r="X14" s="138">
        <v>0</v>
      </c>
      <c r="Y14" s="138">
        <v>0</v>
      </c>
      <c r="Z14" s="138">
        <v>0</v>
      </c>
      <c r="AA14" s="139">
        <v>55638</v>
      </c>
      <c r="AB14" s="139">
        <v>10993380</v>
      </c>
      <c r="AC14" s="139">
        <v>5050066</v>
      </c>
      <c r="AD14" s="138">
        <v>720</v>
      </c>
      <c r="AE14" s="139">
        <v>307800</v>
      </c>
      <c r="AF14" s="139">
        <v>107380</v>
      </c>
      <c r="AG14" s="139">
        <v>45208</v>
      </c>
      <c r="AH14" s="139">
        <v>14913885</v>
      </c>
      <c r="AI14" s="139">
        <v>1084800</v>
      </c>
      <c r="AJ14" s="138">
        <v>55</v>
      </c>
      <c r="AK14" s="139">
        <v>27600</v>
      </c>
      <c r="AL14" s="139">
        <v>5000</v>
      </c>
      <c r="AM14" s="139">
        <v>14217</v>
      </c>
      <c r="AN14" s="139">
        <v>4153400</v>
      </c>
      <c r="AO14" s="139">
        <v>96000</v>
      </c>
      <c r="AP14" s="138">
        <v>200</v>
      </c>
      <c r="AQ14" s="139">
        <v>165300</v>
      </c>
      <c r="AR14" s="139">
        <v>9800</v>
      </c>
      <c r="AS14" s="139">
        <v>34229</v>
      </c>
      <c r="AT14" s="139">
        <v>12088192</v>
      </c>
      <c r="AU14" s="139">
        <v>35600</v>
      </c>
      <c r="AV14" s="138">
        <v>329</v>
      </c>
      <c r="AW14" s="139">
        <v>282182</v>
      </c>
      <c r="AX14" s="138">
        <v>800</v>
      </c>
      <c r="AY14" s="139">
        <v>32853</v>
      </c>
      <c r="AZ14" s="139">
        <v>11678400</v>
      </c>
      <c r="BA14" s="139">
        <v>32300</v>
      </c>
      <c r="BB14" s="138">
        <v>186</v>
      </c>
      <c r="BC14" s="139">
        <v>138720</v>
      </c>
      <c r="BD14" s="138">
        <v>0</v>
      </c>
      <c r="BE14" s="138">
        <v>40</v>
      </c>
      <c r="BF14" s="139">
        <v>14400</v>
      </c>
      <c r="BG14" s="138">
        <v>0</v>
      </c>
      <c r="BH14" s="138">
        <v>3</v>
      </c>
      <c r="BI14" s="139">
        <v>1800</v>
      </c>
      <c r="BJ14" s="138">
        <v>0</v>
      </c>
      <c r="BK14" s="138">
        <v>117</v>
      </c>
      <c r="BL14" s="139">
        <v>34800</v>
      </c>
      <c r="BM14" s="138">
        <v>0</v>
      </c>
      <c r="BN14" s="138">
        <v>1</v>
      </c>
      <c r="BO14" s="138">
        <v>500</v>
      </c>
      <c r="BP14" s="138">
        <v>0</v>
      </c>
      <c r="BQ14" s="138">
        <v>63</v>
      </c>
      <c r="BR14" s="140">
        <v>7258209.2000000002</v>
      </c>
      <c r="BS14" s="141">
        <v>61222105</v>
      </c>
      <c r="BT14" s="52">
        <f t="shared" si="3"/>
        <v>15619880</v>
      </c>
      <c r="BU14" s="44">
        <f t="shared" si="4"/>
        <v>14941485</v>
      </c>
      <c r="BV14" s="44">
        <f t="shared" si="5"/>
        <v>12370374</v>
      </c>
      <c r="BW14" s="44">
        <f t="shared" si="6"/>
        <v>11817120</v>
      </c>
      <c r="BX14" s="44">
        <f t="shared" si="7"/>
        <v>16200</v>
      </c>
      <c r="BY14" s="44">
        <f t="shared" si="8"/>
        <v>35300</v>
      </c>
      <c r="BZ14" s="52">
        <f t="shared" si="9"/>
        <v>6421746</v>
      </c>
      <c r="CA14" s="52">
        <f t="shared" si="1"/>
        <v>53963895.799999997</v>
      </c>
      <c r="CB14" s="52">
        <f t="shared" si="10"/>
        <v>32378337</v>
      </c>
      <c r="CC14" s="59">
        <v>1</v>
      </c>
      <c r="CD14" s="53">
        <f t="shared" si="11"/>
        <v>32378338</v>
      </c>
      <c r="CE14" s="10" t="str">
        <f t="shared" si="12"/>
        <v>데이워커</v>
      </c>
      <c r="CF14" s="60" t="str">
        <f t="shared" si="13"/>
        <v>데이워커</v>
      </c>
      <c r="CG14" s="60" t="b">
        <f t="shared" si="14"/>
        <v>1</v>
      </c>
      <c r="CH14" s="63" t="str">
        <f t="shared" si="15"/>
        <v>데이워커</v>
      </c>
      <c r="CI14" s="64">
        <f t="shared" si="2"/>
        <v>32378338</v>
      </c>
      <c r="CJ14" s="63" t="s">
        <v>348</v>
      </c>
      <c r="CK14" s="71">
        <f>SUMIFS('컨텐츠별 매출 통계'!CV:CV,'컨텐츠별 매출 통계'!A:A,'작품별 집계'!A14,'컨텐츠별 매출 통계'!CF:CF,"2026-01")</f>
        <v>32378338</v>
      </c>
      <c r="CL14" s="70">
        <f t="shared" si="16"/>
        <v>0</v>
      </c>
    </row>
    <row r="15" spans="1:90">
      <c r="A15" s="68" t="s">
        <v>123</v>
      </c>
      <c r="B15" s="68">
        <v>493508</v>
      </c>
      <c r="C15" s="137"/>
      <c r="D15" s="68" t="s">
        <v>385</v>
      </c>
      <c r="E15" s="68" t="s">
        <v>174</v>
      </c>
      <c r="F15" s="68" t="s">
        <v>165</v>
      </c>
      <c r="G15" s="138" t="s">
        <v>166</v>
      </c>
      <c r="H15" s="138" t="s">
        <v>401</v>
      </c>
      <c r="I15" s="138">
        <v>0</v>
      </c>
      <c r="J15" s="138">
        <v>0</v>
      </c>
      <c r="K15" s="138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  <c r="U15" s="138">
        <v>0</v>
      </c>
      <c r="V15" s="138">
        <v>0</v>
      </c>
      <c r="W15" s="138">
        <v>0</v>
      </c>
      <c r="X15" s="138">
        <v>0</v>
      </c>
      <c r="Y15" s="138">
        <v>0</v>
      </c>
      <c r="Z15" s="138">
        <v>0</v>
      </c>
      <c r="AA15" s="139">
        <v>63771</v>
      </c>
      <c r="AB15" s="139">
        <v>13204340</v>
      </c>
      <c r="AC15" s="139">
        <v>5154090</v>
      </c>
      <c r="AD15" s="138">
        <v>910</v>
      </c>
      <c r="AE15" s="139">
        <v>349400</v>
      </c>
      <c r="AF15" s="139">
        <v>117825</v>
      </c>
      <c r="AG15" s="139">
        <v>48205</v>
      </c>
      <c r="AH15" s="139">
        <v>15685739</v>
      </c>
      <c r="AI15" s="139">
        <v>1295800</v>
      </c>
      <c r="AJ15" s="138">
        <v>146</v>
      </c>
      <c r="AK15" s="139">
        <v>73800</v>
      </c>
      <c r="AL15" s="139">
        <v>10600</v>
      </c>
      <c r="AM15" s="139">
        <v>15198</v>
      </c>
      <c r="AN15" s="139">
        <v>4445700</v>
      </c>
      <c r="AO15" s="139">
        <v>93400</v>
      </c>
      <c r="AP15" s="138">
        <v>308</v>
      </c>
      <c r="AQ15" s="139">
        <v>161100</v>
      </c>
      <c r="AR15" s="139">
        <v>2300</v>
      </c>
      <c r="AS15" s="139">
        <v>23628</v>
      </c>
      <c r="AT15" s="139">
        <v>8350111</v>
      </c>
      <c r="AU15" s="139">
        <v>25500</v>
      </c>
      <c r="AV15" s="138">
        <v>175</v>
      </c>
      <c r="AW15" s="139">
        <v>109410</v>
      </c>
      <c r="AX15" s="138">
        <v>0</v>
      </c>
      <c r="AY15" s="139">
        <v>25508</v>
      </c>
      <c r="AZ15" s="139">
        <v>9054480</v>
      </c>
      <c r="BA15" s="139">
        <v>30500</v>
      </c>
      <c r="BB15" s="138">
        <v>177</v>
      </c>
      <c r="BC15" s="139">
        <v>118200</v>
      </c>
      <c r="BD15" s="138">
        <v>600</v>
      </c>
      <c r="BE15" s="138">
        <v>167</v>
      </c>
      <c r="BF15" s="139">
        <v>59160</v>
      </c>
      <c r="BG15" s="138">
        <v>0</v>
      </c>
      <c r="BH15" s="138">
        <v>8</v>
      </c>
      <c r="BI15" s="139">
        <v>4800</v>
      </c>
      <c r="BJ15" s="138">
        <v>0</v>
      </c>
      <c r="BK15" s="138">
        <v>134</v>
      </c>
      <c r="BL15" s="139">
        <v>39800</v>
      </c>
      <c r="BM15" s="138">
        <v>0</v>
      </c>
      <c r="BN15" s="138">
        <v>4</v>
      </c>
      <c r="BO15" s="139">
        <v>2000</v>
      </c>
      <c r="BP15" s="138">
        <v>0</v>
      </c>
      <c r="BQ15" s="138">
        <v>0</v>
      </c>
      <c r="BR15" s="140">
        <v>6955558</v>
      </c>
      <c r="BS15" s="141">
        <v>58388655</v>
      </c>
      <c r="BT15" s="52">
        <f t="shared" si="3"/>
        <v>18160540</v>
      </c>
      <c r="BU15" s="44">
        <f t="shared" si="4"/>
        <v>15759539</v>
      </c>
      <c r="BV15" s="44">
        <f t="shared" si="5"/>
        <v>8459521</v>
      </c>
      <c r="BW15" s="44">
        <f t="shared" si="6"/>
        <v>9172680</v>
      </c>
      <c r="BX15" s="44">
        <f t="shared" si="7"/>
        <v>63960</v>
      </c>
      <c r="BY15" s="44">
        <f t="shared" si="8"/>
        <v>41800</v>
      </c>
      <c r="BZ15" s="52">
        <f t="shared" si="9"/>
        <v>6730615</v>
      </c>
      <c r="CA15" s="52">
        <f t="shared" si="1"/>
        <v>51433097</v>
      </c>
      <c r="CB15" s="52">
        <f t="shared" si="10"/>
        <v>30859858</v>
      </c>
      <c r="CC15" s="59"/>
      <c r="CD15" s="53">
        <f t="shared" si="11"/>
        <v>30859858</v>
      </c>
      <c r="CE15" s="10" t="str">
        <f t="shared" si="12"/>
        <v>백XX</v>
      </c>
      <c r="CF15" s="60" t="str">
        <f t="shared" si="13"/>
        <v>백XX</v>
      </c>
      <c r="CG15" s="60" t="b">
        <f t="shared" si="14"/>
        <v>1</v>
      </c>
      <c r="CH15" s="63" t="str">
        <f t="shared" si="15"/>
        <v>백XX</v>
      </c>
      <c r="CI15" s="64">
        <f t="shared" si="2"/>
        <v>30859858</v>
      </c>
      <c r="CJ15" s="63" t="s">
        <v>348</v>
      </c>
      <c r="CK15" s="71">
        <f>SUMIFS('컨텐츠별 매출 통계'!CV:CV,'컨텐츠별 매출 통계'!A:A,'작품별 집계'!A15,'컨텐츠별 매출 통계'!CF:CF,"2026-01")</f>
        <v>30859858</v>
      </c>
      <c r="CL15" s="70">
        <f t="shared" si="16"/>
        <v>0</v>
      </c>
    </row>
    <row r="16" spans="1:90">
      <c r="A16" s="68" t="s">
        <v>370</v>
      </c>
      <c r="B16" s="68">
        <v>662616</v>
      </c>
      <c r="C16" s="137"/>
      <c r="D16" s="68" t="s">
        <v>385</v>
      </c>
      <c r="E16" s="68" t="s">
        <v>371</v>
      </c>
      <c r="F16" s="68" t="s">
        <v>372</v>
      </c>
      <c r="G16" s="138" t="s">
        <v>96</v>
      </c>
      <c r="H16" s="138" t="s">
        <v>399</v>
      </c>
      <c r="I16" s="138">
        <v>0</v>
      </c>
      <c r="J16" s="138">
        <v>0</v>
      </c>
      <c r="K16" s="138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  <c r="U16" s="138">
        <v>0</v>
      </c>
      <c r="V16" s="138">
        <v>0</v>
      </c>
      <c r="W16" s="138">
        <v>0</v>
      </c>
      <c r="X16" s="138">
        <v>0</v>
      </c>
      <c r="Y16" s="138">
        <v>0</v>
      </c>
      <c r="Z16" s="138">
        <v>0</v>
      </c>
      <c r="AA16" s="139">
        <v>32756</v>
      </c>
      <c r="AB16" s="139">
        <v>5956400</v>
      </c>
      <c r="AC16" s="139">
        <v>3471925</v>
      </c>
      <c r="AD16" s="138">
        <v>420</v>
      </c>
      <c r="AE16" s="139">
        <v>107400</v>
      </c>
      <c r="AF16" s="139">
        <v>69440</v>
      </c>
      <c r="AG16" s="139">
        <v>12345</v>
      </c>
      <c r="AH16" s="139">
        <v>3649448</v>
      </c>
      <c r="AI16" s="139">
        <v>641000</v>
      </c>
      <c r="AJ16" s="138">
        <v>68</v>
      </c>
      <c r="AK16" s="139">
        <v>26686</v>
      </c>
      <c r="AL16" s="139">
        <v>4000</v>
      </c>
      <c r="AM16" s="139">
        <v>10539</v>
      </c>
      <c r="AN16" s="139">
        <v>3072200</v>
      </c>
      <c r="AO16" s="139">
        <v>75700</v>
      </c>
      <c r="AP16" s="138">
        <v>222</v>
      </c>
      <c r="AQ16" s="139">
        <v>108700</v>
      </c>
      <c r="AR16" s="139">
        <v>1200</v>
      </c>
      <c r="AS16" s="139">
        <v>10383</v>
      </c>
      <c r="AT16" s="139">
        <v>3673220</v>
      </c>
      <c r="AU16" s="139">
        <v>13200</v>
      </c>
      <c r="AV16" s="138">
        <v>123</v>
      </c>
      <c r="AW16" s="139">
        <v>63460</v>
      </c>
      <c r="AX16" s="138">
        <v>0</v>
      </c>
      <c r="AY16" s="139">
        <v>16455</v>
      </c>
      <c r="AZ16" s="139">
        <v>5839920</v>
      </c>
      <c r="BA16" s="139">
        <v>23900</v>
      </c>
      <c r="BB16" s="138">
        <v>82</v>
      </c>
      <c r="BC16" s="139">
        <v>41160</v>
      </c>
      <c r="BD16" s="138">
        <v>0</v>
      </c>
      <c r="BE16" s="138">
        <v>84</v>
      </c>
      <c r="BF16" s="139">
        <v>29760</v>
      </c>
      <c r="BG16" s="138">
        <v>300</v>
      </c>
      <c r="BH16" s="138">
        <v>6</v>
      </c>
      <c r="BI16" s="139">
        <v>2880</v>
      </c>
      <c r="BJ16" s="138">
        <v>0</v>
      </c>
      <c r="BK16" s="138">
        <v>52</v>
      </c>
      <c r="BL16" s="139">
        <v>15300</v>
      </c>
      <c r="BM16" s="138">
        <v>0</v>
      </c>
      <c r="BN16" s="138">
        <v>0</v>
      </c>
      <c r="BO16" s="138">
        <v>0</v>
      </c>
      <c r="BP16" s="138">
        <v>0</v>
      </c>
      <c r="BQ16" s="138">
        <v>0</v>
      </c>
      <c r="BR16" s="140">
        <v>2288052.6</v>
      </c>
      <c r="BS16" s="141">
        <v>26887199</v>
      </c>
      <c r="BT16" s="52">
        <f t="shared" si="3"/>
        <v>9244700</v>
      </c>
      <c r="BU16" s="44">
        <f t="shared" si="4"/>
        <v>3676134</v>
      </c>
      <c r="BV16" s="44">
        <f t="shared" si="5"/>
        <v>3736680</v>
      </c>
      <c r="BW16" s="44">
        <f t="shared" si="6"/>
        <v>5881080</v>
      </c>
      <c r="BX16" s="44">
        <f t="shared" si="7"/>
        <v>32640</v>
      </c>
      <c r="BY16" s="44">
        <f t="shared" si="8"/>
        <v>15300</v>
      </c>
      <c r="BZ16" s="52">
        <f t="shared" si="9"/>
        <v>4300665</v>
      </c>
      <c r="CA16" s="52">
        <f t="shared" si="1"/>
        <v>24599146.399999999</v>
      </c>
      <c r="CB16" s="52">
        <f t="shared" si="10"/>
        <v>14759488</v>
      </c>
      <c r="CC16" s="59"/>
      <c r="CD16" s="53">
        <f t="shared" si="11"/>
        <v>14759488</v>
      </c>
      <c r="CE16" s="10" t="str">
        <f t="shared" si="12"/>
        <v>오늘도 퇴근</v>
      </c>
      <c r="CF16" s="60" t="str">
        <f t="shared" si="13"/>
        <v>오늘도퇴근</v>
      </c>
      <c r="CG16" s="60" t="b">
        <f t="shared" si="14"/>
        <v>0</v>
      </c>
      <c r="CH16" s="63" t="str">
        <f t="shared" si="15"/>
        <v>오늘도퇴근</v>
      </c>
      <c r="CI16" s="64">
        <f t="shared" si="2"/>
        <v>14759488</v>
      </c>
      <c r="CJ16" s="63" t="s">
        <v>348</v>
      </c>
      <c r="CK16" s="71">
        <f>SUMIFS('컨텐츠별 매출 통계'!CV:CV,'컨텐츠별 매출 통계'!A:A,'작품별 집계'!A16,'컨텐츠별 매출 통계'!CF:CF,"2026-01")</f>
        <v>14759488</v>
      </c>
      <c r="CL16" s="70">
        <f t="shared" si="16"/>
        <v>0</v>
      </c>
    </row>
    <row r="17" spans="1:90">
      <c r="A17" s="68" t="s">
        <v>153</v>
      </c>
      <c r="B17" s="68">
        <v>590132</v>
      </c>
      <c r="C17" s="137"/>
      <c r="D17" s="68" t="s">
        <v>385</v>
      </c>
      <c r="E17" s="68" t="s">
        <v>184</v>
      </c>
      <c r="F17" s="68" t="s">
        <v>165</v>
      </c>
      <c r="G17" s="138" t="s">
        <v>166</v>
      </c>
      <c r="H17" s="138" t="s">
        <v>399</v>
      </c>
      <c r="I17" s="138">
        <v>0</v>
      </c>
      <c r="J17" s="138">
        <v>0</v>
      </c>
      <c r="K17" s="138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  <c r="U17" s="138">
        <v>0</v>
      </c>
      <c r="V17" s="138">
        <v>0</v>
      </c>
      <c r="W17" s="138">
        <v>0</v>
      </c>
      <c r="X17" s="138">
        <v>0</v>
      </c>
      <c r="Y17" s="138">
        <v>0</v>
      </c>
      <c r="Z17" s="138">
        <v>0</v>
      </c>
      <c r="AA17" s="139">
        <v>28714</v>
      </c>
      <c r="AB17" s="139">
        <v>5383700</v>
      </c>
      <c r="AC17" s="139">
        <v>2834135</v>
      </c>
      <c r="AD17" s="138">
        <v>793</v>
      </c>
      <c r="AE17" s="139">
        <v>189000</v>
      </c>
      <c r="AF17" s="139">
        <v>120605</v>
      </c>
      <c r="AG17" s="139">
        <v>21825</v>
      </c>
      <c r="AH17" s="139">
        <v>7023718</v>
      </c>
      <c r="AI17" s="139">
        <v>653200</v>
      </c>
      <c r="AJ17" s="138">
        <v>174</v>
      </c>
      <c r="AK17" s="139">
        <v>58812</v>
      </c>
      <c r="AL17" s="139">
        <v>19400</v>
      </c>
      <c r="AM17" s="139">
        <v>4570</v>
      </c>
      <c r="AN17" s="139">
        <v>1339200</v>
      </c>
      <c r="AO17" s="139">
        <v>25300</v>
      </c>
      <c r="AP17" s="138">
        <v>196</v>
      </c>
      <c r="AQ17" s="139">
        <v>75400</v>
      </c>
      <c r="AR17" s="139">
        <v>4200</v>
      </c>
      <c r="AS17" s="139">
        <v>10277</v>
      </c>
      <c r="AT17" s="139">
        <v>3639751</v>
      </c>
      <c r="AU17" s="139">
        <v>8700</v>
      </c>
      <c r="AV17" s="138">
        <v>180</v>
      </c>
      <c r="AW17" s="139">
        <v>87104</v>
      </c>
      <c r="AX17" s="138">
        <v>800</v>
      </c>
      <c r="AY17" s="139">
        <v>14010</v>
      </c>
      <c r="AZ17" s="139">
        <v>4973640</v>
      </c>
      <c r="BA17" s="139">
        <v>13400</v>
      </c>
      <c r="BB17" s="138">
        <v>241</v>
      </c>
      <c r="BC17" s="139">
        <v>118080</v>
      </c>
      <c r="BD17" s="138">
        <v>0</v>
      </c>
      <c r="BE17" s="138">
        <v>70</v>
      </c>
      <c r="BF17" s="139">
        <v>25080</v>
      </c>
      <c r="BG17" s="138">
        <v>0</v>
      </c>
      <c r="BH17" s="138">
        <v>9</v>
      </c>
      <c r="BI17" s="139">
        <v>4320</v>
      </c>
      <c r="BJ17" s="138">
        <v>0</v>
      </c>
      <c r="BK17" s="138">
        <v>62</v>
      </c>
      <c r="BL17" s="139">
        <v>18500</v>
      </c>
      <c r="BM17" s="138">
        <v>0</v>
      </c>
      <c r="BN17" s="138">
        <v>6</v>
      </c>
      <c r="BO17" s="139">
        <v>2400</v>
      </c>
      <c r="BP17" s="138">
        <v>0</v>
      </c>
      <c r="BQ17" s="138">
        <v>244</v>
      </c>
      <c r="BR17" s="140">
        <v>3170798</v>
      </c>
      <c r="BS17" s="141">
        <v>26618445</v>
      </c>
      <c r="BT17" s="52">
        <f t="shared" si="3"/>
        <v>6987300</v>
      </c>
      <c r="BU17" s="44">
        <f t="shared" si="4"/>
        <v>7082530</v>
      </c>
      <c r="BV17" s="44">
        <f t="shared" si="5"/>
        <v>3726855</v>
      </c>
      <c r="BW17" s="44">
        <f t="shared" si="6"/>
        <v>5091720</v>
      </c>
      <c r="BX17" s="44">
        <f t="shared" si="7"/>
        <v>29400</v>
      </c>
      <c r="BY17" s="44">
        <f t="shared" si="8"/>
        <v>20900</v>
      </c>
      <c r="BZ17" s="52">
        <f t="shared" si="9"/>
        <v>3679740</v>
      </c>
      <c r="CA17" s="52">
        <f t="shared" si="1"/>
        <v>23447647</v>
      </c>
      <c r="CB17" s="52">
        <f t="shared" si="10"/>
        <v>14068588</v>
      </c>
      <c r="CC17" s="59"/>
      <c r="CD17" s="53">
        <f t="shared" si="11"/>
        <v>14068588</v>
      </c>
      <c r="CE17" s="10" t="str">
        <f t="shared" si="12"/>
        <v>구룡:사로카</v>
      </c>
      <c r="CF17" s="60" t="str">
        <f t="shared" si="13"/>
        <v>구룡:사로카</v>
      </c>
      <c r="CG17" s="60" t="b">
        <f t="shared" si="14"/>
        <v>1</v>
      </c>
      <c r="CH17" s="63" t="str">
        <f t="shared" si="15"/>
        <v>구룡:사로카</v>
      </c>
      <c r="CI17" s="64">
        <f t="shared" si="2"/>
        <v>14068588</v>
      </c>
      <c r="CJ17" s="63" t="s">
        <v>348</v>
      </c>
      <c r="CK17" s="71">
        <f>SUMIFS('컨텐츠별 매출 통계'!CV:CV,'컨텐츠별 매출 통계'!A:A,'작품별 집계'!A17,'컨텐츠별 매출 통계'!CF:CF,"2026-01")</f>
        <v>14068588</v>
      </c>
      <c r="CL17" s="70">
        <f t="shared" si="16"/>
        <v>0</v>
      </c>
    </row>
    <row r="18" spans="1:90">
      <c r="A18" s="68" t="s">
        <v>324</v>
      </c>
      <c r="B18" s="68">
        <v>642001</v>
      </c>
      <c r="C18" s="137"/>
      <c r="D18" s="68" t="s">
        <v>385</v>
      </c>
      <c r="E18" s="68" t="s">
        <v>325</v>
      </c>
      <c r="F18" s="68" t="s">
        <v>177</v>
      </c>
      <c r="G18" s="138" t="s">
        <v>166</v>
      </c>
      <c r="H18" s="138" t="s">
        <v>403</v>
      </c>
      <c r="I18" s="138">
        <v>0</v>
      </c>
      <c r="J18" s="138">
        <v>0</v>
      </c>
      <c r="K18" s="138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  <c r="U18" s="138">
        <v>0</v>
      </c>
      <c r="V18" s="138">
        <v>0</v>
      </c>
      <c r="W18" s="138">
        <v>0</v>
      </c>
      <c r="X18" s="138">
        <v>0</v>
      </c>
      <c r="Y18" s="138">
        <v>0</v>
      </c>
      <c r="Z18" s="138">
        <v>0</v>
      </c>
      <c r="AA18" s="139">
        <v>21055</v>
      </c>
      <c r="AB18" s="139">
        <v>3869760</v>
      </c>
      <c r="AC18" s="139">
        <v>2191770</v>
      </c>
      <c r="AD18" s="139">
        <v>1263</v>
      </c>
      <c r="AE18" s="139">
        <v>361500</v>
      </c>
      <c r="AF18" s="139">
        <v>185115</v>
      </c>
      <c r="AG18" s="139">
        <v>12242</v>
      </c>
      <c r="AH18" s="139">
        <v>4039474</v>
      </c>
      <c r="AI18" s="139">
        <v>281400</v>
      </c>
      <c r="AJ18" s="138">
        <v>77</v>
      </c>
      <c r="AK18" s="139">
        <v>23520</v>
      </c>
      <c r="AL18" s="139">
        <v>9600</v>
      </c>
      <c r="AM18" s="139">
        <v>4419</v>
      </c>
      <c r="AN18" s="139">
        <v>1289500</v>
      </c>
      <c r="AO18" s="139">
        <v>30300</v>
      </c>
      <c r="AP18" s="138">
        <v>352</v>
      </c>
      <c r="AQ18" s="139">
        <v>147700</v>
      </c>
      <c r="AR18" s="139">
        <v>3800</v>
      </c>
      <c r="AS18" s="139">
        <v>17795</v>
      </c>
      <c r="AT18" s="139">
        <v>6224058</v>
      </c>
      <c r="AU18" s="139">
        <v>21000</v>
      </c>
      <c r="AV18" s="138">
        <v>533</v>
      </c>
      <c r="AW18" s="139">
        <v>274316</v>
      </c>
      <c r="AX18" s="139">
        <v>2700</v>
      </c>
      <c r="AY18" s="139">
        <v>8441</v>
      </c>
      <c r="AZ18" s="139">
        <v>2982000</v>
      </c>
      <c r="BA18" s="139">
        <v>12400</v>
      </c>
      <c r="BB18" s="138">
        <v>246</v>
      </c>
      <c r="BC18" s="139">
        <v>133440</v>
      </c>
      <c r="BD18" s="138">
        <v>300</v>
      </c>
      <c r="BE18" s="138">
        <v>20</v>
      </c>
      <c r="BF18" s="139">
        <v>7080</v>
      </c>
      <c r="BG18" s="138">
        <v>0</v>
      </c>
      <c r="BH18" s="138">
        <v>5</v>
      </c>
      <c r="BI18" s="139">
        <v>1920</v>
      </c>
      <c r="BJ18" s="138">
        <v>400</v>
      </c>
      <c r="BK18" s="138">
        <v>420</v>
      </c>
      <c r="BL18" s="139">
        <v>123900</v>
      </c>
      <c r="BM18" s="138">
        <v>0</v>
      </c>
      <c r="BN18" s="138">
        <v>30</v>
      </c>
      <c r="BO18" s="139">
        <v>11600</v>
      </c>
      <c r="BP18" s="138">
        <v>0</v>
      </c>
      <c r="BQ18" s="138">
        <v>0</v>
      </c>
      <c r="BR18" s="140">
        <v>2340224</v>
      </c>
      <c r="BS18" s="141">
        <v>22228553</v>
      </c>
      <c r="BT18" s="52">
        <f t="shared" si="3"/>
        <v>5668460</v>
      </c>
      <c r="BU18" s="44">
        <f t="shared" si="4"/>
        <v>4062994</v>
      </c>
      <c r="BV18" s="44">
        <f t="shared" si="5"/>
        <v>6498374</v>
      </c>
      <c r="BW18" s="44">
        <f t="shared" si="6"/>
        <v>3115440</v>
      </c>
      <c r="BX18" s="44">
        <f t="shared" si="7"/>
        <v>9000</v>
      </c>
      <c r="BY18" s="44">
        <f t="shared" si="8"/>
        <v>135500</v>
      </c>
      <c r="BZ18" s="52">
        <f t="shared" si="9"/>
        <v>2738785</v>
      </c>
      <c r="CA18" s="52">
        <f t="shared" si="1"/>
        <v>19888329</v>
      </c>
      <c r="CB18" s="52">
        <f t="shared" si="10"/>
        <v>11932997</v>
      </c>
      <c r="CC18" s="59"/>
      <c r="CD18" s="53">
        <f t="shared" si="11"/>
        <v>11932997</v>
      </c>
      <c r="CE18" s="10" t="str">
        <f t="shared" si="12"/>
        <v>십이지소녀</v>
      </c>
      <c r="CF18" s="60" t="str">
        <f t="shared" si="13"/>
        <v>십이지소녀</v>
      </c>
      <c r="CG18" s="60" t="b">
        <f t="shared" si="14"/>
        <v>1</v>
      </c>
      <c r="CH18" s="63" t="str">
        <f t="shared" si="15"/>
        <v>십이지소녀</v>
      </c>
      <c r="CI18" s="64">
        <f t="shared" si="2"/>
        <v>11932997</v>
      </c>
      <c r="CJ18" s="63" t="s">
        <v>348</v>
      </c>
      <c r="CK18" s="71">
        <f>SUMIFS('컨텐츠별 매출 통계'!CV:CV,'컨텐츠별 매출 통계'!A:A,'작품별 집계'!A18,'컨텐츠별 매출 통계'!CF:CF,"2026-01")</f>
        <v>11932997</v>
      </c>
      <c r="CL18" s="70">
        <f t="shared" si="16"/>
        <v>0</v>
      </c>
    </row>
    <row r="19" spans="1:90">
      <c r="A19" s="68" t="s">
        <v>155</v>
      </c>
      <c r="B19" s="68">
        <v>591459</v>
      </c>
      <c r="C19" s="137"/>
      <c r="D19" s="68" t="s">
        <v>385</v>
      </c>
      <c r="E19" s="68" t="s">
        <v>169</v>
      </c>
      <c r="F19" s="68" t="s">
        <v>169</v>
      </c>
      <c r="G19" s="138" t="s">
        <v>170</v>
      </c>
      <c r="H19" s="138" t="s">
        <v>392</v>
      </c>
      <c r="I19" s="138">
        <v>268</v>
      </c>
      <c r="J19" s="139">
        <v>394954</v>
      </c>
      <c r="K19" s="139">
        <v>80400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  <c r="U19" s="138">
        <v>0</v>
      </c>
      <c r="V19" s="138">
        <v>0</v>
      </c>
      <c r="W19" s="138">
        <v>0</v>
      </c>
      <c r="X19" s="138">
        <v>0</v>
      </c>
      <c r="Y19" s="138">
        <v>0</v>
      </c>
      <c r="Z19" s="138">
        <v>0</v>
      </c>
      <c r="AA19" s="139">
        <v>16420</v>
      </c>
      <c r="AB19" s="139">
        <v>2473200</v>
      </c>
      <c r="AC19" s="139">
        <v>2294910</v>
      </c>
      <c r="AD19" s="138">
        <v>189</v>
      </c>
      <c r="AE19" s="139">
        <v>64000</v>
      </c>
      <c r="AF19" s="139">
        <v>30315</v>
      </c>
      <c r="AG19" s="139">
        <v>11901</v>
      </c>
      <c r="AH19" s="139">
        <v>3709333</v>
      </c>
      <c r="AI19" s="139">
        <v>462700</v>
      </c>
      <c r="AJ19" s="138">
        <v>71</v>
      </c>
      <c r="AK19" s="139">
        <v>27720</v>
      </c>
      <c r="AL19" s="139">
        <v>11900</v>
      </c>
      <c r="AM19" s="139">
        <v>2462</v>
      </c>
      <c r="AN19" s="139">
        <v>719100</v>
      </c>
      <c r="AO19" s="139">
        <v>16300</v>
      </c>
      <c r="AP19" s="138">
        <v>97</v>
      </c>
      <c r="AQ19" s="139">
        <v>49800</v>
      </c>
      <c r="AR19" s="139">
        <v>2000</v>
      </c>
      <c r="AS19" s="139">
        <v>7712</v>
      </c>
      <c r="AT19" s="139">
        <v>2755179</v>
      </c>
      <c r="AU19" s="139">
        <v>7800</v>
      </c>
      <c r="AV19" s="138">
        <v>62</v>
      </c>
      <c r="AW19" s="139">
        <v>37200</v>
      </c>
      <c r="AX19" s="138">
        <v>0</v>
      </c>
      <c r="AY19" s="139">
        <v>18024</v>
      </c>
      <c r="AZ19" s="139">
        <v>6434040</v>
      </c>
      <c r="BA19" s="139">
        <v>16100</v>
      </c>
      <c r="BB19" s="138">
        <v>51</v>
      </c>
      <c r="BC19" s="139">
        <v>31200</v>
      </c>
      <c r="BD19" s="138">
        <v>0</v>
      </c>
      <c r="BE19" s="138">
        <v>324</v>
      </c>
      <c r="BF19" s="139">
        <v>115440</v>
      </c>
      <c r="BG19" s="138">
        <v>0</v>
      </c>
      <c r="BH19" s="138">
        <v>78</v>
      </c>
      <c r="BI19" s="139">
        <v>46080</v>
      </c>
      <c r="BJ19" s="138">
        <v>0</v>
      </c>
      <c r="BK19" s="138">
        <v>75</v>
      </c>
      <c r="BL19" s="139">
        <v>22500</v>
      </c>
      <c r="BM19" s="138">
        <v>0</v>
      </c>
      <c r="BN19" s="138">
        <v>1</v>
      </c>
      <c r="BO19" s="138">
        <v>500</v>
      </c>
      <c r="BP19" s="138">
        <v>0</v>
      </c>
      <c r="BQ19" s="140">
        <v>1767</v>
      </c>
      <c r="BR19" s="140">
        <v>2097727</v>
      </c>
      <c r="BS19" s="141">
        <v>19407717</v>
      </c>
      <c r="BT19" s="52">
        <f t="shared" si="3"/>
        <v>3306100</v>
      </c>
      <c r="BU19" s="44">
        <f t="shared" si="4"/>
        <v>3737053</v>
      </c>
      <c r="BV19" s="44">
        <f t="shared" si="5"/>
        <v>2792379</v>
      </c>
      <c r="BW19" s="44">
        <f t="shared" si="6"/>
        <v>6465240</v>
      </c>
      <c r="BX19" s="44">
        <f t="shared" si="7"/>
        <v>161520</v>
      </c>
      <c r="BY19" s="44">
        <f t="shared" si="8"/>
        <v>23000</v>
      </c>
      <c r="BZ19" s="52">
        <f t="shared" si="9"/>
        <v>2922425</v>
      </c>
      <c r="CA19" s="52">
        <f t="shared" si="1"/>
        <v>17309990</v>
      </c>
      <c r="CB19" s="52">
        <f t="shared" si="10"/>
        <v>10385994</v>
      </c>
      <c r="CC19" s="59"/>
      <c r="CD19" s="53">
        <f t="shared" si="11"/>
        <v>10385994</v>
      </c>
      <c r="CE19" s="10" t="str">
        <f t="shared" si="12"/>
        <v>밤의 방문자</v>
      </c>
      <c r="CF19" s="60" t="str">
        <f t="shared" si="13"/>
        <v>밤의방문자</v>
      </c>
      <c r="CG19" s="60" t="b">
        <f t="shared" si="14"/>
        <v>0</v>
      </c>
      <c r="CH19" s="63" t="str">
        <f t="shared" si="15"/>
        <v>밤의방문자</v>
      </c>
      <c r="CI19" s="64">
        <f t="shared" si="2"/>
        <v>10385994</v>
      </c>
      <c r="CJ19" s="63" t="s">
        <v>348</v>
      </c>
      <c r="CK19" s="71">
        <f>SUMIFS('컨텐츠별 매출 통계'!CV:CV,'컨텐츠별 매출 통계'!A:A,'작품별 집계'!A19,'컨텐츠별 매출 통계'!CF:CF,"2026-01")</f>
        <v>10385994</v>
      </c>
      <c r="CL19" s="70">
        <f t="shared" si="16"/>
        <v>0</v>
      </c>
    </row>
    <row r="20" spans="1:90">
      <c r="A20" s="68" t="s">
        <v>158</v>
      </c>
      <c r="B20" s="68">
        <v>595746</v>
      </c>
      <c r="C20" s="137"/>
      <c r="D20" s="68" t="s">
        <v>385</v>
      </c>
      <c r="E20" s="68" t="s">
        <v>176</v>
      </c>
      <c r="F20" s="68" t="s">
        <v>177</v>
      </c>
      <c r="G20" s="138" t="s">
        <v>166</v>
      </c>
      <c r="H20" s="138" t="s">
        <v>403</v>
      </c>
      <c r="I20" s="138">
        <v>0</v>
      </c>
      <c r="J20" s="138">
        <v>0</v>
      </c>
      <c r="K20" s="138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  <c r="U20" s="138">
        <v>0</v>
      </c>
      <c r="V20" s="138">
        <v>0</v>
      </c>
      <c r="W20" s="138">
        <v>0</v>
      </c>
      <c r="X20" s="138">
        <v>0</v>
      </c>
      <c r="Y20" s="138">
        <v>0</v>
      </c>
      <c r="Z20" s="138">
        <v>0</v>
      </c>
      <c r="AA20" s="139">
        <v>16980</v>
      </c>
      <c r="AB20" s="139">
        <v>3162720</v>
      </c>
      <c r="AC20" s="139">
        <v>1697215</v>
      </c>
      <c r="AD20" s="138">
        <v>189</v>
      </c>
      <c r="AE20" s="139">
        <v>50000</v>
      </c>
      <c r="AF20" s="139">
        <v>28500</v>
      </c>
      <c r="AG20" s="139">
        <v>11775</v>
      </c>
      <c r="AH20" s="139">
        <v>3775495</v>
      </c>
      <c r="AI20" s="139">
        <v>368900</v>
      </c>
      <c r="AJ20" s="138">
        <v>46</v>
      </c>
      <c r="AK20" s="139">
        <v>15348</v>
      </c>
      <c r="AL20" s="139">
        <v>5300</v>
      </c>
      <c r="AM20" s="139">
        <v>3978</v>
      </c>
      <c r="AN20" s="139">
        <v>1165600</v>
      </c>
      <c r="AO20" s="139">
        <v>22700</v>
      </c>
      <c r="AP20" s="138">
        <v>72</v>
      </c>
      <c r="AQ20" s="139">
        <v>27900</v>
      </c>
      <c r="AR20" s="138">
        <v>900</v>
      </c>
      <c r="AS20" s="139">
        <v>5831</v>
      </c>
      <c r="AT20" s="139">
        <v>2062559</v>
      </c>
      <c r="AU20" s="139">
        <v>5600</v>
      </c>
      <c r="AV20" s="138">
        <v>54</v>
      </c>
      <c r="AW20" s="139">
        <v>25532</v>
      </c>
      <c r="AX20" s="138">
        <v>0</v>
      </c>
      <c r="AY20" s="139">
        <v>8564</v>
      </c>
      <c r="AZ20" s="139">
        <v>3045120</v>
      </c>
      <c r="BA20" s="139">
        <v>6700</v>
      </c>
      <c r="BB20" s="138">
        <v>47</v>
      </c>
      <c r="BC20" s="139">
        <v>22800</v>
      </c>
      <c r="BD20" s="138">
        <v>0</v>
      </c>
      <c r="BE20" s="138">
        <v>22</v>
      </c>
      <c r="BF20" s="139">
        <v>7920</v>
      </c>
      <c r="BG20" s="138">
        <v>0</v>
      </c>
      <c r="BH20" s="138">
        <v>0</v>
      </c>
      <c r="BI20" s="138">
        <v>0</v>
      </c>
      <c r="BJ20" s="138">
        <v>0</v>
      </c>
      <c r="BK20" s="138">
        <v>16</v>
      </c>
      <c r="BL20" s="139">
        <v>4800</v>
      </c>
      <c r="BM20" s="138">
        <v>0</v>
      </c>
      <c r="BN20" s="138">
        <v>0</v>
      </c>
      <c r="BO20" s="138">
        <v>0</v>
      </c>
      <c r="BP20" s="138">
        <v>0</v>
      </c>
      <c r="BQ20" s="138">
        <v>0</v>
      </c>
      <c r="BR20" s="140">
        <v>1755715</v>
      </c>
      <c r="BS20" s="141">
        <v>15501609</v>
      </c>
      <c r="BT20" s="52">
        <f t="shared" si="3"/>
        <v>4406220</v>
      </c>
      <c r="BU20" s="44">
        <f t="shared" si="4"/>
        <v>3790843</v>
      </c>
      <c r="BV20" s="44">
        <f t="shared" si="5"/>
        <v>2088091</v>
      </c>
      <c r="BW20" s="44">
        <f t="shared" si="6"/>
        <v>3067920</v>
      </c>
      <c r="BX20" s="44">
        <f t="shared" si="7"/>
        <v>7920</v>
      </c>
      <c r="BY20" s="44">
        <f t="shared" si="8"/>
        <v>4800</v>
      </c>
      <c r="BZ20" s="52">
        <f t="shared" si="9"/>
        <v>2135815</v>
      </c>
      <c r="CA20" s="52">
        <f t="shared" si="1"/>
        <v>13745894</v>
      </c>
      <c r="CB20" s="52">
        <f t="shared" si="10"/>
        <v>8247536</v>
      </c>
      <c r="CC20" s="59"/>
      <c r="CD20" s="53">
        <f t="shared" si="11"/>
        <v>8247536</v>
      </c>
      <c r="CE20" s="10" t="str">
        <f t="shared" si="12"/>
        <v>최악의 세대</v>
      </c>
      <c r="CF20" s="60" t="str">
        <f t="shared" si="13"/>
        <v>최악의세대</v>
      </c>
      <c r="CG20" s="60" t="b">
        <f t="shared" si="14"/>
        <v>0</v>
      </c>
      <c r="CH20" s="63" t="str">
        <f t="shared" si="15"/>
        <v>최악의세대</v>
      </c>
      <c r="CI20" s="64">
        <f t="shared" si="2"/>
        <v>8247536</v>
      </c>
      <c r="CJ20" s="63" t="s">
        <v>348</v>
      </c>
      <c r="CK20" s="71">
        <f>SUMIFS('컨텐츠별 매출 통계'!CV:CV,'컨텐츠별 매출 통계'!A:A,'작품별 집계'!A20,'컨텐츠별 매출 통계'!CF:CF,"2026-01")</f>
        <v>8247536</v>
      </c>
      <c r="CL20" s="70">
        <f t="shared" si="16"/>
        <v>0</v>
      </c>
    </row>
    <row r="21" spans="1:90">
      <c r="A21" s="68" t="s">
        <v>160</v>
      </c>
      <c r="B21" s="68">
        <v>598352</v>
      </c>
      <c r="C21" s="137"/>
      <c r="D21" s="68" t="s">
        <v>385</v>
      </c>
      <c r="E21" s="68" t="s">
        <v>180</v>
      </c>
      <c r="F21" s="68" t="s">
        <v>177</v>
      </c>
      <c r="G21" s="138" t="s">
        <v>166</v>
      </c>
      <c r="H21" s="138" t="s">
        <v>401</v>
      </c>
      <c r="I21" s="138">
        <v>0</v>
      </c>
      <c r="J21" s="138">
        <v>0</v>
      </c>
      <c r="K21" s="138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  <c r="U21" s="138">
        <v>0</v>
      </c>
      <c r="V21" s="138">
        <v>0</v>
      </c>
      <c r="W21" s="138">
        <v>0</v>
      </c>
      <c r="X21" s="138">
        <v>0</v>
      </c>
      <c r="Y21" s="138">
        <v>0</v>
      </c>
      <c r="Z21" s="138">
        <v>0</v>
      </c>
      <c r="AA21" s="139">
        <v>15277</v>
      </c>
      <c r="AB21" s="139">
        <v>3173720</v>
      </c>
      <c r="AC21" s="139">
        <v>1243025</v>
      </c>
      <c r="AD21" s="138">
        <v>210</v>
      </c>
      <c r="AE21" s="139">
        <v>59500</v>
      </c>
      <c r="AF21" s="139">
        <v>23005</v>
      </c>
      <c r="AG21" s="139">
        <v>9917</v>
      </c>
      <c r="AH21" s="139">
        <v>3318112</v>
      </c>
      <c r="AI21" s="139">
        <v>202000</v>
      </c>
      <c r="AJ21" s="138">
        <v>39</v>
      </c>
      <c r="AK21" s="139">
        <v>15360</v>
      </c>
      <c r="AL21" s="139">
        <v>2800</v>
      </c>
      <c r="AM21" s="139">
        <v>3742</v>
      </c>
      <c r="AN21" s="139">
        <v>1095900</v>
      </c>
      <c r="AO21" s="139">
        <v>22500</v>
      </c>
      <c r="AP21" s="138">
        <v>122</v>
      </c>
      <c r="AQ21" s="139">
        <v>50100</v>
      </c>
      <c r="AR21" s="138">
        <v>600</v>
      </c>
      <c r="AS21" s="139">
        <v>7399</v>
      </c>
      <c r="AT21" s="139">
        <v>2621074</v>
      </c>
      <c r="AU21" s="139">
        <v>6700</v>
      </c>
      <c r="AV21" s="138">
        <v>71</v>
      </c>
      <c r="AW21" s="139">
        <v>39336</v>
      </c>
      <c r="AX21" s="138">
        <v>300</v>
      </c>
      <c r="AY21" s="139">
        <v>9535</v>
      </c>
      <c r="AZ21" s="139">
        <v>3388440</v>
      </c>
      <c r="BA21" s="139">
        <v>8400</v>
      </c>
      <c r="BB21" s="138">
        <v>104</v>
      </c>
      <c r="BC21" s="139">
        <v>51720</v>
      </c>
      <c r="BD21" s="138">
        <v>0</v>
      </c>
      <c r="BE21" s="138">
        <v>8</v>
      </c>
      <c r="BF21" s="139">
        <v>2880</v>
      </c>
      <c r="BG21" s="138">
        <v>0</v>
      </c>
      <c r="BH21" s="138">
        <v>4</v>
      </c>
      <c r="BI21" s="139">
        <v>1920</v>
      </c>
      <c r="BJ21" s="138">
        <v>0</v>
      </c>
      <c r="BK21" s="138">
        <v>30</v>
      </c>
      <c r="BL21" s="139">
        <v>8800</v>
      </c>
      <c r="BM21" s="138">
        <v>0</v>
      </c>
      <c r="BN21" s="138">
        <v>3</v>
      </c>
      <c r="BO21" s="139">
        <v>1200</v>
      </c>
      <c r="BP21" s="138">
        <v>0</v>
      </c>
      <c r="BQ21" s="138">
        <v>120</v>
      </c>
      <c r="BR21" s="140">
        <v>1708954</v>
      </c>
      <c r="BS21" s="141">
        <v>15337392</v>
      </c>
      <c r="BT21" s="52">
        <f t="shared" si="3"/>
        <v>4379220</v>
      </c>
      <c r="BU21" s="44">
        <f t="shared" si="4"/>
        <v>3333472</v>
      </c>
      <c r="BV21" s="44">
        <f t="shared" si="5"/>
        <v>2660410</v>
      </c>
      <c r="BW21" s="44">
        <f t="shared" si="6"/>
        <v>3440160</v>
      </c>
      <c r="BX21" s="44">
        <f t="shared" si="7"/>
        <v>4800</v>
      </c>
      <c r="BY21" s="44">
        <f t="shared" si="8"/>
        <v>10000</v>
      </c>
      <c r="BZ21" s="52">
        <f t="shared" si="9"/>
        <v>1509330</v>
      </c>
      <c r="CA21" s="52">
        <f t="shared" si="1"/>
        <v>13628438</v>
      </c>
      <c r="CB21" s="52">
        <f t="shared" si="10"/>
        <v>8177063</v>
      </c>
      <c r="CC21" s="59"/>
      <c r="CD21" s="53">
        <f t="shared" si="11"/>
        <v>8177063</v>
      </c>
      <c r="CE21" s="10" t="str">
        <f t="shared" si="12"/>
        <v>남제</v>
      </c>
      <c r="CF21" s="60" t="str">
        <f t="shared" si="13"/>
        <v>남제</v>
      </c>
      <c r="CG21" s="60" t="b">
        <f t="shared" si="14"/>
        <v>1</v>
      </c>
      <c r="CH21" s="63" t="str">
        <f t="shared" si="15"/>
        <v>남제</v>
      </c>
      <c r="CI21" s="64">
        <f t="shared" si="2"/>
        <v>8177063</v>
      </c>
      <c r="CJ21" s="63" t="s">
        <v>348</v>
      </c>
      <c r="CK21" s="71">
        <f>SUMIFS('컨텐츠별 매출 통계'!CV:CV,'컨텐츠별 매출 통계'!A:A,'작품별 집계'!A21,'컨텐츠별 매출 통계'!CF:CF,"2026-01")</f>
        <v>8177063</v>
      </c>
      <c r="CL21" s="70">
        <f t="shared" si="16"/>
        <v>0</v>
      </c>
    </row>
    <row r="22" spans="1:90">
      <c r="A22" s="68" t="s">
        <v>320</v>
      </c>
      <c r="B22" s="68">
        <v>629975</v>
      </c>
      <c r="C22" s="137"/>
      <c r="D22" s="68" t="s">
        <v>385</v>
      </c>
      <c r="E22" s="68" t="s">
        <v>321</v>
      </c>
      <c r="F22" s="68" t="s">
        <v>322</v>
      </c>
      <c r="G22" s="138" t="s">
        <v>166</v>
      </c>
      <c r="H22" s="138" t="s">
        <v>399</v>
      </c>
      <c r="I22" s="138">
        <v>0</v>
      </c>
      <c r="J22" s="138">
        <v>0</v>
      </c>
      <c r="K22" s="138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  <c r="U22" s="138">
        <v>0</v>
      </c>
      <c r="V22" s="138">
        <v>0</v>
      </c>
      <c r="W22" s="138">
        <v>0</v>
      </c>
      <c r="X22" s="138">
        <v>0</v>
      </c>
      <c r="Y22" s="138">
        <v>0</v>
      </c>
      <c r="Z22" s="138">
        <v>0</v>
      </c>
      <c r="AA22" s="139">
        <v>14889</v>
      </c>
      <c r="AB22" s="139">
        <v>2714420</v>
      </c>
      <c r="AC22" s="139">
        <v>1538945</v>
      </c>
      <c r="AD22" s="138">
        <v>209</v>
      </c>
      <c r="AE22" s="139">
        <v>61500</v>
      </c>
      <c r="AF22" s="139">
        <v>34105</v>
      </c>
      <c r="AG22" s="139">
        <v>8129</v>
      </c>
      <c r="AH22" s="139">
        <v>2677453</v>
      </c>
      <c r="AI22" s="139">
        <v>196000</v>
      </c>
      <c r="AJ22" s="138">
        <v>7</v>
      </c>
      <c r="AK22" s="138">
        <v>0</v>
      </c>
      <c r="AL22" s="139">
        <v>2600</v>
      </c>
      <c r="AM22" s="139">
        <v>5846</v>
      </c>
      <c r="AN22" s="139">
        <v>1710800</v>
      </c>
      <c r="AO22" s="139">
        <v>35000</v>
      </c>
      <c r="AP22" s="138">
        <v>84</v>
      </c>
      <c r="AQ22" s="139">
        <v>35800</v>
      </c>
      <c r="AR22" s="139">
        <v>1200</v>
      </c>
      <c r="AS22" s="139">
        <v>8218</v>
      </c>
      <c r="AT22" s="139">
        <v>2906764</v>
      </c>
      <c r="AU22" s="139">
        <v>6700</v>
      </c>
      <c r="AV22" s="138">
        <v>50</v>
      </c>
      <c r="AW22" s="139">
        <v>30400</v>
      </c>
      <c r="AX22" s="138">
        <v>0</v>
      </c>
      <c r="AY22" s="139">
        <v>8782</v>
      </c>
      <c r="AZ22" s="139">
        <v>3127200</v>
      </c>
      <c r="BA22" s="139">
        <v>4200</v>
      </c>
      <c r="BB22" s="138">
        <v>55</v>
      </c>
      <c r="BC22" s="139">
        <v>28320</v>
      </c>
      <c r="BD22" s="138">
        <v>400</v>
      </c>
      <c r="BE22" s="138">
        <v>19</v>
      </c>
      <c r="BF22" s="139">
        <v>6840</v>
      </c>
      <c r="BG22" s="138">
        <v>0</v>
      </c>
      <c r="BH22" s="138">
        <v>4</v>
      </c>
      <c r="BI22" s="139">
        <v>1920</v>
      </c>
      <c r="BJ22" s="138">
        <v>0</v>
      </c>
      <c r="BK22" s="138">
        <v>18</v>
      </c>
      <c r="BL22" s="139">
        <v>5200</v>
      </c>
      <c r="BM22" s="138">
        <v>0</v>
      </c>
      <c r="BN22" s="138">
        <v>0</v>
      </c>
      <c r="BO22" s="138">
        <v>0</v>
      </c>
      <c r="BP22" s="138">
        <v>0</v>
      </c>
      <c r="BQ22" s="138">
        <v>0</v>
      </c>
      <c r="BR22" s="140">
        <v>1518105.5</v>
      </c>
      <c r="BS22" s="141">
        <v>15125767</v>
      </c>
      <c r="BT22" s="52">
        <f t="shared" si="3"/>
        <v>4522520</v>
      </c>
      <c r="BU22" s="44">
        <f t="shared" si="4"/>
        <v>2677453</v>
      </c>
      <c r="BV22" s="44">
        <f t="shared" si="5"/>
        <v>2937164</v>
      </c>
      <c r="BW22" s="44">
        <f t="shared" si="6"/>
        <v>3155520</v>
      </c>
      <c r="BX22" s="44">
        <f t="shared" si="7"/>
        <v>8760</v>
      </c>
      <c r="BY22" s="44">
        <f t="shared" si="8"/>
        <v>5200</v>
      </c>
      <c r="BZ22" s="52">
        <f t="shared" si="9"/>
        <v>1819150</v>
      </c>
      <c r="CA22" s="52">
        <f t="shared" si="1"/>
        <v>13607661.5</v>
      </c>
      <c r="CB22" s="52">
        <f t="shared" si="10"/>
        <v>8164597</v>
      </c>
      <c r="CC22" s="59"/>
      <c r="CD22" s="53">
        <f t="shared" si="11"/>
        <v>8164597</v>
      </c>
      <c r="CE22" s="10" t="str">
        <f t="shared" si="12"/>
        <v>레벨999 고블린</v>
      </c>
      <c r="CF22" s="60" t="str">
        <f t="shared" si="13"/>
        <v>레벨999고블린</v>
      </c>
      <c r="CG22" s="60" t="b">
        <f t="shared" si="14"/>
        <v>0</v>
      </c>
      <c r="CH22" s="63" t="str">
        <f t="shared" si="15"/>
        <v>레벨999고블린</v>
      </c>
      <c r="CI22" s="64">
        <f t="shared" si="2"/>
        <v>8164597</v>
      </c>
      <c r="CJ22" s="63" t="s">
        <v>348</v>
      </c>
      <c r="CK22" s="71">
        <f>SUMIFS('컨텐츠별 매출 통계'!CV:CV,'컨텐츠별 매출 통계'!A:A,'작품별 집계'!A22,'컨텐츠별 매출 통계'!CF:CF,"2026-01")</f>
        <v>8164597</v>
      </c>
      <c r="CL22" s="70">
        <f t="shared" si="16"/>
        <v>0</v>
      </c>
    </row>
    <row r="23" spans="1:90">
      <c r="A23" s="68" t="s">
        <v>360</v>
      </c>
      <c r="B23" s="68">
        <v>656046</v>
      </c>
      <c r="C23" s="137"/>
      <c r="D23" s="68" t="s">
        <v>385</v>
      </c>
      <c r="E23" s="68" t="s">
        <v>361</v>
      </c>
      <c r="F23" s="68" t="s">
        <v>362</v>
      </c>
      <c r="G23" s="138" t="s">
        <v>166</v>
      </c>
      <c r="H23" s="138" t="s">
        <v>404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  <c r="U23" s="138">
        <v>0</v>
      </c>
      <c r="V23" s="138">
        <v>0</v>
      </c>
      <c r="W23" s="138">
        <v>0</v>
      </c>
      <c r="X23" s="138">
        <v>0</v>
      </c>
      <c r="Y23" s="138">
        <v>0</v>
      </c>
      <c r="Z23" s="138">
        <v>0</v>
      </c>
      <c r="AA23" s="139">
        <v>13740</v>
      </c>
      <c r="AB23" s="139">
        <v>2615720</v>
      </c>
      <c r="AC23" s="139">
        <v>1341680</v>
      </c>
      <c r="AD23" s="138">
        <v>67</v>
      </c>
      <c r="AE23" s="139">
        <v>16400</v>
      </c>
      <c r="AF23" s="139">
        <v>11095</v>
      </c>
      <c r="AG23" s="139">
        <v>9908</v>
      </c>
      <c r="AH23" s="139">
        <v>3223145</v>
      </c>
      <c r="AI23" s="139">
        <v>275000</v>
      </c>
      <c r="AJ23" s="138">
        <v>14</v>
      </c>
      <c r="AK23" s="139">
        <v>5280</v>
      </c>
      <c r="AL23" s="139">
        <v>1200</v>
      </c>
      <c r="AM23" s="139">
        <v>2698</v>
      </c>
      <c r="AN23" s="139">
        <v>789300</v>
      </c>
      <c r="AO23" s="139">
        <v>17100</v>
      </c>
      <c r="AP23" s="138">
        <v>30</v>
      </c>
      <c r="AQ23" s="139">
        <v>17200</v>
      </c>
      <c r="AR23" s="138">
        <v>700</v>
      </c>
      <c r="AS23" s="139">
        <v>6249</v>
      </c>
      <c r="AT23" s="139">
        <v>2218402</v>
      </c>
      <c r="AU23" s="139">
        <v>3700</v>
      </c>
      <c r="AV23" s="138">
        <v>26</v>
      </c>
      <c r="AW23" s="139">
        <v>13440</v>
      </c>
      <c r="AX23" s="138">
        <v>0</v>
      </c>
      <c r="AY23" s="139">
        <v>7790</v>
      </c>
      <c r="AZ23" s="139">
        <v>2773920</v>
      </c>
      <c r="BA23" s="139">
        <v>4800</v>
      </c>
      <c r="BB23" s="138">
        <v>40</v>
      </c>
      <c r="BC23" s="139">
        <v>21000</v>
      </c>
      <c r="BD23" s="138">
        <v>0</v>
      </c>
      <c r="BE23" s="138">
        <v>2</v>
      </c>
      <c r="BF23" s="138">
        <v>720</v>
      </c>
      <c r="BG23" s="138">
        <v>0</v>
      </c>
      <c r="BH23" s="138">
        <v>0</v>
      </c>
      <c r="BI23" s="138">
        <v>0</v>
      </c>
      <c r="BJ23" s="138">
        <v>0</v>
      </c>
      <c r="BK23" s="138">
        <v>39</v>
      </c>
      <c r="BL23" s="139">
        <v>11700</v>
      </c>
      <c r="BM23" s="138">
        <v>0</v>
      </c>
      <c r="BN23" s="138">
        <v>6</v>
      </c>
      <c r="BO23" s="139">
        <v>2400</v>
      </c>
      <c r="BP23" s="138">
        <v>0</v>
      </c>
      <c r="BQ23" s="138">
        <v>0</v>
      </c>
      <c r="BR23" s="140">
        <v>1548585.7</v>
      </c>
      <c r="BS23" s="141">
        <v>13363902</v>
      </c>
      <c r="BT23" s="52">
        <f t="shared" si="3"/>
        <v>3438620</v>
      </c>
      <c r="BU23" s="44">
        <f t="shared" si="4"/>
        <v>3228425</v>
      </c>
      <c r="BV23" s="44">
        <f t="shared" si="5"/>
        <v>2231842</v>
      </c>
      <c r="BW23" s="44">
        <f t="shared" si="6"/>
        <v>2794920</v>
      </c>
      <c r="BX23" s="44">
        <f t="shared" si="7"/>
        <v>720</v>
      </c>
      <c r="BY23" s="44">
        <f t="shared" si="8"/>
        <v>14100</v>
      </c>
      <c r="BZ23" s="52">
        <f t="shared" si="9"/>
        <v>1655275</v>
      </c>
      <c r="CA23" s="52">
        <f t="shared" si="1"/>
        <v>11815316.300000001</v>
      </c>
      <c r="CB23" s="52">
        <f t="shared" si="10"/>
        <v>7089190</v>
      </c>
      <c r="CC23" s="59"/>
      <c r="CD23" s="53">
        <f t="shared" si="11"/>
        <v>7089190</v>
      </c>
      <c r="CE23" s="10" t="str">
        <f t="shared" si="12"/>
        <v>악귀나찰</v>
      </c>
      <c r="CF23" s="60" t="str">
        <f t="shared" si="13"/>
        <v>악귀나찰</v>
      </c>
      <c r="CG23" s="60" t="b">
        <f t="shared" si="14"/>
        <v>1</v>
      </c>
      <c r="CH23" s="63" t="str">
        <f t="shared" si="15"/>
        <v>악귀나찰</v>
      </c>
      <c r="CI23" s="64">
        <f t="shared" si="2"/>
        <v>7089190</v>
      </c>
      <c r="CJ23" s="63" t="s">
        <v>348</v>
      </c>
      <c r="CK23" s="71">
        <f>SUMIFS('컨텐츠별 매출 통계'!CV:CV,'컨텐츠별 매출 통계'!A:A,'작품별 집계'!A23,'컨텐츠별 매출 통계'!CF:CF,"2026-01")</f>
        <v>7089190</v>
      </c>
      <c r="CL23" s="70">
        <f t="shared" si="16"/>
        <v>0</v>
      </c>
    </row>
    <row r="24" spans="1:90">
      <c r="A24" s="68" t="s">
        <v>352</v>
      </c>
      <c r="B24" s="68">
        <v>642007</v>
      </c>
      <c r="C24" s="137"/>
      <c r="D24" s="68" t="s">
        <v>385</v>
      </c>
      <c r="E24" s="68" t="s">
        <v>201</v>
      </c>
      <c r="F24" s="68" t="s">
        <v>201</v>
      </c>
      <c r="G24" s="138" t="s">
        <v>166</v>
      </c>
      <c r="H24" s="138" t="s">
        <v>398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  <c r="U24" s="138">
        <v>0</v>
      </c>
      <c r="V24" s="138">
        <v>0</v>
      </c>
      <c r="W24" s="138">
        <v>0</v>
      </c>
      <c r="X24" s="138">
        <v>0</v>
      </c>
      <c r="Y24" s="138">
        <v>0</v>
      </c>
      <c r="Z24" s="138">
        <v>0</v>
      </c>
      <c r="AA24" s="139">
        <v>14029</v>
      </c>
      <c r="AB24" s="139">
        <v>2311200</v>
      </c>
      <c r="AC24" s="139">
        <v>1661175</v>
      </c>
      <c r="AD24" s="139">
        <v>1945</v>
      </c>
      <c r="AE24" s="139">
        <v>465700</v>
      </c>
      <c r="AF24" s="139">
        <v>342495</v>
      </c>
      <c r="AG24" s="139">
        <v>3894</v>
      </c>
      <c r="AH24" s="139">
        <v>1216915</v>
      </c>
      <c r="AI24" s="139">
        <v>143400</v>
      </c>
      <c r="AJ24" s="138">
        <v>188</v>
      </c>
      <c r="AK24" s="139">
        <v>41840</v>
      </c>
      <c r="AL24" s="139">
        <v>38000</v>
      </c>
      <c r="AM24" s="139">
        <v>4285</v>
      </c>
      <c r="AN24" s="139">
        <v>1255200</v>
      </c>
      <c r="AO24" s="139">
        <v>23800</v>
      </c>
      <c r="AP24" s="138">
        <v>722</v>
      </c>
      <c r="AQ24" s="139">
        <v>311100</v>
      </c>
      <c r="AR24" s="139">
        <v>9300</v>
      </c>
      <c r="AS24" s="139">
        <v>6754</v>
      </c>
      <c r="AT24" s="139">
        <v>2369037</v>
      </c>
      <c r="AU24" s="139">
        <v>6800</v>
      </c>
      <c r="AV24" s="138">
        <v>436</v>
      </c>
      <c r="AW24" s="139">
        <v>222600</v>
      </c>
      <c r="AX24" s="138">
        <v>400</v>
      </c>
      <c r="AY24" s="139">
        <v>5875</v>
      </c>
      <c r="AZ24" s="139">
        <v>2069280</v>
      </c>
      <c r="BA24" s="139">
        <v>11300</v>
      </c>
      <c r="BB24" s="138">
        <v>425</v>
      </c>
      <c r="BC24" s="139">
        <v>208920</v>
      </c>
      <c r="BD24" s="139">
        <v>1000</v>
      </c>
      <c r="BE24" s="138">
        <v>5</v>
      </c>
      <c r="BF24" s="139">
        <v>1800</v>
      </c>
      <c r="BG24" s="138">
        <v>0</v>
      </c>
      <c r="BH24" s="138">
        <v>12</v>
      </c>
      <c r="BI24" s="139">
        <v>5760</v>
      </c>
      <c r="BJ24" s="138">
        <v>0</v>
      </c>
      <c r="BK24" s="138">
        <v>107</v>
      </c>
      <c r="BL24" s="139">
        <v>30800</v>
      </c>
      <c r="BM24" s="138">
        <v>0</v>
      </c>
      <c r="BN24" s="138">
        <v>1</v>
      </c>
      <c r="BO24" s="138">
        <v>400</v>
      </c>
      <c r="BP24" s="138">
        <v>0</v>
      </c>
      <c r="BQ24" s="138">
        <v>130</v>
      </c>
      <c r="BR24" s="140">
        <v>977405.1</v>
      </c>
      <c r="BS24" s="141">
        <v>12748222</v>
      </c>
      <c r="BT24" s="52">
        <f t="shared" si="3"/>
        <v>4343200</v>
      </c>
      <c r="BU24" s="44">
        <f t="shared" si="4"/>
        <v>1258755</v>
      </c>
      <c r="BV24" s="44">
        <f t="shared" si="5"/>
        <v>2591637</v>
      </c>
      <c r="BW24" s="44">
        <f t="shared" si="6"/>
        <v>2278200</v>
      </c>
      <c r="BX24" s="44">
        <f t="shared" si="7"/>
        <v>7560</v>
      </c>
      <c r="BY24" s="44">
        <f t="shared" si="8"/>
        <v>31200</v>
      </c>
      <c r="BZ24" s="52">
        <f t="shared" si="9"/>
        <v>2237670</v>
      </c>
      <c r="CA24" s="52">
        <f t="shared" si="1"/>
        <v>11770816.9</v>
      </c>
      <c r="CB24" s="52">
        <f t="shared" si="10"/>
        <v>7062490</v>
      </c>
      <c r="CC24" s="59"/>
      <c r="CD24" s="53">
        <f t="shared" si="11"/>
        <v>7062490</v>
      </c>
      <c r="CE24" s="10" t="str">
        <f t="shared" si="12"/>
        <v>용사생활기록부</v>
      </c>
      <c r="CF24" s="60" t="str">
        <f t="shared" si="13"/>
        <v>용사생활기록부</v>
      </c>
      <c r="CG24" s="60" t="b">
        <f t="shared" si="14"/>
        <v>1</v>
      </c>
      <c r="CH24" s="63" t="str">
        <f t="shared" si="15"/>
        <v>용사생활기록부</v>
      </c>
      <c r="CI24" s="64">
        <f t="shared" si="2"/>
        <v>7062490</v>
      </c>
      <c r="CJ24" s="63" t="s">
        <v>348</v>
      </c>
      <c r="CK24" s="71">
        <f>SUMIFS('컨텐츠별 매출 통계'!CV:CV,'컨텐츠별 매출 통계'!A:A,'작품별 집계'!A24,'컨텐츠별 매출 통계'!CF:CF,"2026-01")</f>
        <v>7062490</v>
      </c>
      <c r="CL24" s="70">
        <f t="shared" si="16"/>
        <v>0</v>
      </c>
    </row>
    <row r="25" spans="1:90">
      <c r="A25" s="68" t="s">
        <v>107</v>
      </c>
      <c r="B25" s="68">
        <v>449359</v>
      </c>
      <c r="C25" s="137"/>
      <c r="D25" s="68" t="s">
        <v>385</v>
      </c>
      <c r="E25" s="68" t="s">
        <v>172</v>
      </c>
      <c r="F25" s="68" t="s">
        <v>165</v>
      </c>
      <c r="G25" s="138" t="s">
        <v>166</v>
      </c>
      <c r="H25" s="138" t="s">
        <v>173</v>
      </c>
      <c r="I25" s="138">
        <v>0</v>
      </c>
      <c r="J25" s="139">
        <v>208338</v>
      </c>
      <c r="K25" s="138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  <c r="U25" s="138">
        <v>0</v>
      </c>
      <c r="V25" s="138">
        <v>0</v>
      </c>
      <c r="W25" s="138">
        <v>0</v>
      </c>
      <c r="X25" s="138">
        <v>0</v>
      </c>
      <c r="Y25" s="138">
        <v>0</v>
      </c>
      <c r="Z25" s="138">
        <v>0</v>
      </c>
      <c r="AA25" s="139">
        <v>6379</v>
      </c>
      <c r="AB25" s="139">
        <v>916900</v>
      </c>
      <c r="AC25" s="139">
        <v>939685</v>
      </c>
      <c r="AD25" s="138">
        <v>592</v>
      </c>
      <c r="AE25" s="139">
        <v>243800</v>
      </c>
      <c r="AF25" s="139">
        <v>48640</v>
      </c>
      <c r="AG25" s="139">
        <v>5999</v>
      </c>
      <c r="AH25" s="139">
        <v>1876338</v>
      </c>
      <c r="AI25" s="139">
        <v>231500</v>
      </c>
      <c r="AJ25" s="138">
        <v>214</v>
      </c>
      <c r="AK25" s="139">
        <v>99960</v>
      </c>
      <c r="AL25" s="139">
        <v>1700</v>
      </c>
      <c r="AM25" s="138">
        <v>610</v>
      </c>
      <c r="AN25" s="139">
        <v>175900</v>
      </c>
      <c r="AO25" s="139">
        <v>6300</v>
      </c>
      <c r="AP25" s="138">
        <v>26</v>
      </c>
      <c r="AQ25" s="139">
        <v>22300</v>
      </c>
      <c r="AR25" s="138">
        <v>0</v>
      </c>
      <c r="AS25" s="139">
        <v>7805</v>
      </c>
      <c r="AT25" s="139">
        <v>2766010</v>
      </c>
      <c r="AU25" s="139">
        <v>6600</v>
      </c>
      <c r="AV25" s="138">
        <v>233</v>
      </c>
      <c r="AW25" s="139">
        <v>237560</v>
      </c>
      <c r="AX25" s="138">
        <v>0</v>
      </c>
      <c r="AY25" s="139">
        <v>4535</v>
      </c>
      <c r="AZ25" s="139">
        <v>1621080</v>
      </c>
      <c r="BA25" s="139">
        <v>1000</v>
      </c>
      <c r="BB25" s="138">
        <v>168</v>
      </c>
      <c r="BC25" s="139">
        <v>91560</v>
      </c>
      <c r="BD25" s="138">
        <v>0</v>
      </c>
      <c r="BE25" s="138">
        <v>7</v>
      </c>
      <c r="BF25" s="139">
        <v>2520</v>
      </c>
      <c r="BG25" s="138">
        <v>0</v>
      </c>
      <c r="BH25" s="138">
        <v>0</v>
      </c>
      <c r="BI25" s="138">
        <v>0</v>
      </c>
      <c r="BJ25" s="138">
        <v>0</v>
      </c>
      <c r="BK25" s="138">
        <v>455</v>
      </c>
      <c r="BL25" s="139">
        <v>135700</v>
      </c>
      <c r="BM25" s="138">
        <v>0</v>
      </c>
      <c r="BN25" s="138">
        <v>0</v>
      </c>
      <c r="BO25" s="138">
        <v>0</v>
      </c>
      <c r="BP25" s="138">
        <v>0</v>
      </c>
      <c r="BQ25" s="138">
        <v>36</v>
      </c>
      <c r="BR25" s="140">
        <v>1108706.5</v>
      </c>
      <c r="BS25" s="141">
        <v>9425053</v>
      </c>
      <c r="BT25" s="52">
        <f t="shared" si="3"/>
        <v>1358900</v>
      </c>
      <c r="BU25" s="44">
        <f t="shared" si="4"/>
        <v>1976298</v>
      </c>
      <c r="BV25" s="44">
        <f t="shared" si="5"/>
        <v>3003570</v>
      </c>
      <c r="BW25" s="44">
        <f t="shared" si="6"/>
        <v>1712640</v>
      </c>
      <c r="BX25" s="44">
        <f t="shared" si="7"/>
        <v>2520</v>
      </c>
      <c r="BY25" s="44">
        <f t="shared" si="8"/>
        <v>135700</v>
      </c>
      <c r="BZ25" s="52">
        <f t="shared" si="9"/>
        <v>1235425</v>
      </c>
      <c r="CA25" s="52">
        <f t="shared" si="1"/>
        <v>8316346.5</v>
      </c>
      <c r="CB25" s="52">
        <f t="shared" si="10"/>
        <v>4989808</v>
      </c>
      <c r="CC25" s="59"/>
      <c r="CD25" s="53">
        <f t="shared" si="11"/>
        <v>4989808</v>
      </c>
      <c r="CE25" s="10" t="str">
        <f t="shared" si="12"/>
        <v>퀘스트지상주의</v>
      </c>
      <c r="CF25" s="60" t="str">
        <f t="shared" si="13"/>
        <v>퀘스트지상주의</v>
      </c>
      <c r="CG25" s="60" t="b">
        <f t="shared" si="14"/>
        <v>1</v>
      </c>
      <c r="CH25" s="63" t="str">
        <f t="shared" si="15"/>
        <v>퀘스트지상주의</v>
      </c>
      <c r="CI25" s="64">
        <f t="shared" si="2"/>
        <v>4989808</v>
      </c>
      <c r="CJ25" s="63" t="s">
        <v>348</v>
      </c>
      <c r="CK25" s="71">
        <f>SUMIFS('컨텐츠별 매출 통계'!CV:CV,'컨텐츠별 매출 통계'!A:A,'작품별 집계'!A25,'컨텐츠별 매출 통계'!CF:CF,"2026-01")</f>
        <v>4989808</v>
      </c>
      <c r="CL25" s="70">
        <f t="shared" si="16"/>
        <v>0</v>
      </c>
    </row>
    <row r="26" spans="1:90">
      <c r="A26" s="68" t="s">
        <v>245</v>
      </c>
      <c r="B26" s="68">
        <v>624713</v>
      </c>
      <c r="C26" s="137"/>
      <c r="D26" s="68" t="s">
        <v>385</v>
      </c>
      <c r="E26" s="68" t="s">
        <v>246</v>
      </c>
      <c r="F26" s="68" t="s">
        <v>247</v>
      </c>
      <c r="G26" s="138" t="s">
        <v>170</v>
      </c>
      <c r="H26" s="138" t="s">
        <v>393</v>
      </c>
      <c r="I26" s="138">
        <v>0</v>
      </c>
      <c r="J26" s="138">
        <v>0</v>
      </c>
      <c r="K26" s="138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  <c r="U26" s="138">
        <v>0</v>
      </c>
      <c r="V26" s="138">
        <v>0</v>
      </c>
      <c r="W26" s="138">
        <v>0</v>
      </c>
      <c r="X26" s="138">
        <v>0</v>
      </c>
      <c r="Y26" s="138">
        <v>0</v>
      </c>
      <c r="Z26" s="138">
        <v>0</v>
      </c>
      <c r="AA26" s="139">
        <v>7332</v>
      </c>
      <c r="AB26" s="139">
        <v>1005480</v>
      </c>
      <c r="AC26" s="139">
        <v>1045055</v>
      </c>
      <c r="AD26" s="138">
        <v>14</v>
      </c>
      <c r="AE26" s="139">
        <v>6000</v>
      </c>
      <c r="AF26" s="139">
        <v>3125</v>
      </c>
      <c r="AG26" s="139">
        <v>4862</v>
      </c>
      <c r="AH26" s="139">
        <v>1483936</v>
      </c>
      <c r="AI26" s="139">
        <v>205500</v>
      </c>
      <c r="AJ26" s="138">
        <v>2</v>
      </c>
      <c r="AK26" s="138">
        <v>600</v>
      </c>
      <c r="AL26" s="138">
        <v>500</v>
      </c>
      <c r="AM26" s="138">
        <v>927</v>
      </c>
      <c r="AN26" s="139">
        <v>270200</v>
      </c>
      <c r="AO26" s="139">
        <v>5500</v>
      </c>
      <c r="AP26" s="138">
        <v>5</v>
      </c>
      <c r="AQ26" s="139">
        <v>3500</v>
      </c>
      <c r="AR26" s="138">
        <v>0</v>
      </c>
      <c r="AS26" s="139">
        <v>2065</v>
      </c>
      <c r="AT26" s="139">
        <v>727836</v>
      </c>
      <c r="AU26" s="138">
        <v>200</v>
      </c>
      <c r="AV26" s="138">
        <v>5</v>
      </c>
      <c r="AW26" s="139">
        <v>3000</v>
      </c>
      <c r="AX26" s="138">
        <v>0</v>
      </c>
      <c r="AY26" s="139">
        <v>2792</v>
      </c>
      <c r="AZ26" s="139">
        <v>984960</v>
      </c>
      <c r="BA26" s="138">
        <v>700</v>
      </c>
      <c r="BB26" s="138">
        <v>6</v>
      </c>
      <c r="BC26" s="139">
        <v>30600</v>
      </c>
      <c r="BD26" s="138">
        <v>0</v>
      </c>
      <c r="BE26" s="138">
        <v>4</v>
      </c>
      <c r="BF26" s="139">
        <v>1440</v>
      </c>
      <c r="BG26" s="138">
        <v>0</v>
      </c>
      <c r="BH26" s="138">
        <v>0</v>
      </c>
      <c r="BI26" s="138">
        <v>0</v>
      </c>
      <c r="BJ26" s="138">
        <v>0</v>
      </c>
      <c r="BK26" s="138">
        <v>8</v>
      </c>
      <c r="BL26" s="139">
        <v>2400</v>
      </c>
      <c r="BM26" s="138">
        <v>0</v>
      </c>
      <c r="BN26" s="138">
        <v>0</v>
      </c>
      <c r="BO26" s="138">
        <v>0</v>
      </c>
      <c r="BP26" s="138">
        <v>0</v>
      </c>
      <c r="BQ26" s="138">
        <v>72</v>
      </c>
      <c r="BR26" s="140">
        <v>648873.19999999995</v>
      </c>
      <c r="BS26" s="141">
        <v>5780532</v>
      </c>
      <c r="BT26" s="52">
        <f t="shared" si="3"/>
        <v>1285180</v>
      </c>
      <c r="BU26" s="44">
        <f t="shared" si="4"/>
        <v>1484536</v>
      </c>
      <c r="BV26" s="44">
        <f t="shared" si="5"/>
        <v>730836</v>
      </c>
      <c r="BW26" s="44">
        <f t="shared" si="6"/>
        <v>1015560</v>
      </c>
      <c r="BX26" s="44">
        <f t="shared" si="7"/>
        <v>1440</v>
      </c>
      <c r="BY26" s="44">
        <f t="shared" si="8"/>
        <v>2400</v>
      </c>
      <c r="BZ26" s="52">
        <f t="shared" si="9"/>
        <v>1260580</v>
      </c>
      <c r="CA26" s="52">
        <f t="shared" si="1"/>
        <v>5131658.8</v>
      </c>
      <c r="CB26" s="52">
        <f t="shared" si="10"/>
        <v>3078995</v>
      </c>
      <c r="CC26" s="59"/>
      <c r="CD26" s="53">
        <f t="shared" si="11"/>
        <v>3078995</v>
      </c>
      <c r="CE26" s="10" t="str">
        <f t="shared" si="12"/>
        <v>강제소집</v>
      </c>
      <c r="CF26" s="60" t="str">
        <f t="shared" si="13"/>
        <v>강제소집</v>
      </c>
      <c r="CG26" s="60" t="b">
        <f t="shared" si="14"/>
        <v>1</v>
      </c>
      <c r="CH26" s="63" t="str">
        <f t="shared" si="15"/>
        <v>강제소집</v>
      </c>
      <c r="CI26" s="64">
        <f t="shared" si="2"/>
        <v>3078995</v>
      </c>
      <c r="CJ26" s="63" t="s">
        <v>348</v>
      </c>
      <c r="CK26" s="71">
        <f>SUMIFS('컨텐츠별 매출 통계'!CV:CV,'컨텐츠별 매출 통계'!A:A,'작품별 집계'!A26,'컨텐츠별 매출 통계'!CF:CF,"2026-01")</f>
        <v>3078995</v>
      </c>
      <c r="CL26" s="70">
        <f t="shared" si="16"/>
        <v>0</v>
      </c>
    </row>
    <row r="27" spans="1:90">
      <c r="A27" s="68" t="s">
        <v>157</v>
      </c>
      <c r="B27" s="68">
        <v>594698</v>
      </c>
      <c r="C27" s="137"/>
      <c r="D27" s="68" t="s">
        <v>385</v>
      </c>
      <c r="E27" s="68" t="s">
        <v>189</v>
      </c>
      <c r="F27" s="68" t="s">
        <v>189</v>
      </c>
      <c r="G27" s="138" t="s">
        <v>166</v>
      </c>
      <c r="H27" s="138" t="s">
        <v>404</v>
      </c>
      <c r="I27" s="138">
        <v>0</v>
      </c>
      <c r="J27" s="138">
        <v>0</v>
      </c>
      <c r="K27" s="138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  <c r="U27" s="138">
        <v>0</v>
      </c>
      <c r="V27" s="138">
        <v>0</v>
      </c>
      <c r="W27" s="138">
        <v>0</v>
      </c>
      <c r="X27" s="138">
        <v>0</v>
      </c>
      <c r="Y27" s="138">
        <v>0</v>
      </c>
      <c r="Z27" s="138">
        <v>0</v>
      </c>
      <c r="AA27" s="139">
        <v>3816</v>
      </c>
      <c r="AB27" s="139">
        <v>812180</v>
      </c>
      <c r="AC27" s="139">
        <v>303075</v>
      </c>
      <c r="AD27" s="138">
        <v>58</v>
      </c>
      <c r="AE27" s="139">
        <v>18600</v>
      </c>
      <c r="AF27" s="139">
        <v>5560</v>
      </c>
      <c r="AG27" s="139">
        <v>2781</v>
      </c>
      <c r="AH27" s="139">
        <v>918056</v>
      </c>
      <c r="AI27" s="139">
        <v>67800</v>
      </c>
      <c r="AJ27" s="138">
        <v>0</v>
      </c>
      <c r="AK27" s="138">
        <v>0</v>
      </c>
      <c r="AL27" s="138">
        <v>0</v>
      </c>
      <c r="AM27" s="138">
        <v>926</v>
      </c>
      <c r="AN27" s="139">
        <v>271500</v>
      </c>
      <c r="AO27" s="139">
        <v>5500</v>
      </c>
      <c r="AP27" s="138">
        <v>10</v>
      </c>
      <c r="AQ27" s="139">
        <v>4000</v>
      </c>
      <c r="AR27" s="138">
        <v>0</v>
      </c>
      <c r="AS27" s="139">
        <v>2246</v>
      </c>
      <c r="AT27" s="139">
        <v>796715</v>
      </c>
      <c r="AU27" s="139">
        <v>1100</v>
      </c>
      <c r="AV27" s="138">
        <v>23</v>
      </c>
      <c r="AW27" s="139">
        <v>12960</v>
      </c>
      <c r="AX27" s="138">
        <v>400</v>
      </c>
      <c r="AY27" s="139">
        <v>2357</v>
      </c>
      <c r="AZ27" s="139">
        <v>841680</v>
      </c>
      <c r="BA27" s="139">
        <v>1500</v>
      </c>
      <c r="BB27" s="138">
        <v>27</v>
      </c>
      <c r="BC27" s="139">
        <v>12600</v>
      </c>
      <c r="BD27" s="138">
        <v>0</v>
      </c>
      <c r="BE27" s="138">
        <v>4</v>
      </c>
      <c r="BF27" s="139">
        <v>1440</v>
      </c>
      <c r="BG27" s="138">
        <v>0</v>
      </c>
      <c r="BH27" s="138">
        <v>0</v>
      </c>
      <c r="BI27" s="138">
        <v>0</v>
      </c>
      <c r="BJ27" s="138">
        <v>0</v>
      </c>
      <c r="BK27" s="138">
        <v>12</v>
      </c>
      <c r="BL27" s="139">
        <v>3600</v>
      </c>
      <c r="BM27" s="138">
        <v>0</v>
      </c>
      <c r="BN27" s="138">
        <v>2</v>
      </c>
      <c r="BO27" s="138">
        <v>800</v>
      </c>
      <c r="BP27" s="138">
        <v>0</v>
      </c>
      <c r="BQ27" s="138">
        <v>0</v>
      </c>
      <c r="BR27" s="140">
        <v>467233.1</v>
      </c>
      <c r="BS27" s="141">
        <v>4079066</v>
      </c>
      <c r="BT27" s="52">
        <f t="shared" si="3"/>
        <v>1106280</v>
      </c>
      <c r="BU27" s="44">
        <f t="shared" si="4"/>
        <v>918056</v>
      </c>
      <c r="BV27" s="44">
        <f t="shared" si="5"/>
        <v>809675</v>
      </c>
      <c r="BW27" s="44">
        <f t="shared" si="6"/>
        <v>854280</v>
      </c>
      <c r="BX27" s="44">
        <f t="shared" si="7"/>
        <v>1440</v>
      </c>
      <c r="BY27" s="44">
        <f t="shared" si="8"/>
        <v>4400</v>
      </c>
      <c r="BZ27" s="52">
        <f t="shared" si="9"/>
        <v>384935</v>
      </c>
      <c r="CA27" s="52">
        <f t="shared" si="1"/>
        <v>3611832.9</v>
      </c>
      <c r="CB27" s="52">
        <f t="shared" si="10"/>
        <v>2167100</v>
      </c>
      <c r="CC27" s="59"/>
      <c r="CD27" s="53">
        <f t="shared" si="11"/>
        <v>2167100</v>
      </c>
      <c r="CE27" s="10" t="str">
        <f t="shared" si="12"/>
        <v>정의구현</v>
      </c>
      <c r="CF27" s="60" t="str">
        <f t="shared" si="13"/>
        <v>정의구현</v>
      </c>
      <c r="CG27" s="60" t="b">
        <f t="shared" si="14"/>
        <v>1</v>
      </c>
      <c r="CH27" s="63" t="str">
        <f t="shared" si="15"/>
        <v>정의구현</v>
      </c>
      <c r="CI27" s="64">
        <f t="shared" si="2"/>
        <v>2167100</v>
      </c>
      <c r="CJ27" s="63" t="s">
        <v>348</v>
      </c>
      <c r="CK27" s="71">
        <f>SUMIFS('컨텐츠별 매출 통계'!CV:CV,'컨텐츠별 매출 통계'!A:A,'작품별 집계'!A27,'컨텐츠별 매출 통계'!CF:CF,"2026-01")</f>
        <v>2167100</v>
      </c>
      <c r="CL27" s="70">
        <f t="shared" si="16"/>
        <v>0</v>
      </c>
    </row>
    <row r="28" spans="1:90">
      <c r="A28" s="68" t="s">
        <v>130</v>
      </c>
      <c r="B28" s="68">
        <v>512152</v>
      </c>
      <c r="C28" s="137"/>
      <c r="D28" s="68" t="s">
        <v>385</v>
      </c>
      <c r="E28" s="68" t="s">
        <v>204</v>
      </c>
      <c r="F28" s="68" t="s">
        <v>165</v>
      </c>
      <c r="G28" s="138" t="s">
        <v>170</v>
      </c>
      <c r="H28" s="138" t="s">
        <v>205</v>
      </c>
      <c r="I28" s="138">
        <v>0</v>
      </c>
      <c r="J28" s="139">
        <v>42018</v>
      </c>
      <c r="K28" s="138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  <c r="U28" s="138">
        <v>0</v>
      </c>
      <c r="V28" s="138">
        <v>0</v>
      </c>
      <c r="W28" s="138">
        <v>0</v>
      </c>
      <c r="X28" s="138">
        <v>0</v>
      </c>
      <c r="Y28" s="138">
        <v>0</v>
      </c>
      <c r="Z28" s="138">
        <v>0</v>
      </c>
      <c r="AA28" s="139">
        <v>3848</v>
      </c>
      <c r="AB28" s="139">
        <v>445900</v>
      </c>
      <c r="AC28" s="139">
        <v>292400</v>
      </c>
      <c r="AD28" s="138">
        <v>77</v>
      </c>
      <c r="AE28" s="139">
        <v>41600</v>
      </c>
      <c r="AF28" s="139">
        <v>22180</v>
      </c>
      <c r="AG28" s="139">
        <v>5030</v>
      </c>
      <c r="AH28" s="139">
        <v>1060691</v>
      </c>
      <c r="AI28" s="139">
        <v>123400</v>
      </c>
      <c r="AJ28" s="138">
        <v>7</v>
      </c>
      <c r="AK28" s="138">
        <v>0</v>
      </c>
      <c r="AL28" s="139">
        <v>2800</v>
      </c>
      <c r="AM28" s="139">
        <v>1056</v>
      </c>
      <c r="AN28" s="139">
        <v>206900</v>
      </c>
      <c r="AO28" s="139">
        <v>3900</v>
      </c>
      <c r="AP28" s="138">
        <v>7</v>
      </c>
      <c r="AQ28" s="139">
        <v>5200</v>
      </c>
      <c r="AR28" s="138">
        <v>0</v>
      </c>
      <c r="AS28" s="139">
        <v>1597</v>
      </c>
      <c r="AT28" s="139">
        <v>384186</v>
      </c>
      <c r="AU28" s="138">
        <v>300</v>
      </c>
      <c r="AV28" s="138">
        <v>33</v>
      </c>
      <c r="AW28" s="139">
        <v>14640</v>
      </c>
      <c r="AX28" s="138">
        <v>0</v>
      </c>
      <c r="AY28" s="139">
        <v>2462</v>
      </c>
      <c r="AZ28" s="139">
        <v>586680</v>
      </c>
      <c r="BA28" s="139">
        <v>2000</v>
      </c>
      <c r="BB28" s="138">
        <v>53</v>
      </c>
      <c r="BC28" s="139">
        <v>72840</v>
      </c>
      <c r="BD28" s="138">
        <v>0</v>
      </c>
      <c r="BE28" s="138">
        <v>0</v>
      </c>
      <c r="BF28" s="138">
        <v>0</v>
      </c>
      <c r="BG28" s="138">
        <v>0</v>
      </c>
      <c r="BH28" s="138">
        <v>0</v>
      </c>
      <c r="BI28" s="138">
        <v>0</v>
      </c>
      <c r="BJ28" s="138">
        <v>0</v>
      </c>
      <c r="BK28" s="138">
        <v>16</v>
      </c>
      <c r="BL28" s="139">
        <v>3200</v>
      </c>
      <c r="BM28" s="138">
        <v>0</v>
      </c>
      <c r="BN28" s="138">
        <v>0</v>
      </c>
      <c r="BO28" s="138">
        <v>0</v>
      </c>
      <c r="BP28" s="138">
        <v>0</v>
      </c>
      <c r="BQ28" s="138">
        <v>0</v>
      </c>
      <c r="BR28" s="140">
        <v>438914.7</v>
      </c>
      <c r="BS28" s="141">
        <v>3268817</v>
      </c>
      <c r="BT28" s="52">
        <f t="shared" si="3"/>
        <v>699600</v>
      </c>
      <c r="BU28" s="44">
        <f t="shared" si="4"/>
        <v>1060691</v>
      </c>
      <c r="BV28" s="44">
        <f t="shared" si="5"/>
        <v>398826</v>
      </c>
      <c r="BW28" s="44">
        <f t="shared" si="6"/>
        <v>659520</v>
      </c>
      <c r="BX28" s="44">
        <f t="shared" si="7"/>
        <v>0</v>
      </c>
      <c r="BY28" s="44">
        <f t="shared" si="8"/>
        <v>3200</v>
      </c>
      <c r="BZ28" s="52">
        <f t="shared" si="9"/>
        <v>446980</v>
      </c>
      <c r="CA28" s="52">
        <f t="shared" si="1"/>
        <v>2829902.3</v>
      </c>
      <c r="CB28" s="52">
        <f t="shared" si="10"/>
        <v>1697941</v>
      </c>
      <c r="CC28" s="59"/>
      <c r="CD28" s="53">
        <f t="shared" si="11"/>
        <v>1697941</v>
      </c>
      <c r="CE28" s="10" t="str">
        <f t="shared" si="12"/>
        <v>유쾌한 왕따(재)</v>
      </c>
      <c r="CF28" s="60" t="str">
        <f t="shared" si="13"/>
        <v>유쾌한왕따(재)</v>
      </c>
      <c r="CG28" s="60" t="b">
        <f t="shared" si="14"/>
        <v>0</v>
      </c>
      <c r="CH28" s="63" t="str">
        <f t="shared" si="15"/>
        <v>유쾌한왕따(재)</v>
      </c>
      <c r="CI28" s="64">
        <f t="shared" si="2"/>
        <v>1697941</v>
      </c>
      <c r="CJ28" s="63" t="s">
        <v>348</v>
      </c>
      <c r="CK28" s="71">
        <f>SUMIFS('컨텐츠별 매출 통계'!CV:CV,'컨텐츠별 매출 통계'!A:A,'작품별 집계'!A28,'컨텐츠별 매출 통계'!CF:CF,"2026-01")</f>
        <v>1697941</v>
      </c>
      <c r="CL28" s="70">
        <f t="shared" si="16"/>
        <v>0</v>
      </c>
    </row>
    <row r="29" spans="1:90">
      <c r="A29" s="68" t="s">
        <v>128</v>
      </c>
      <c r="B29" s="68">
        <v>503855</v>
      </c>
      <c r="C29" s="137"/>
      <c r="D29" s="68" t="s">
        <v>385</v>
      </c>
      <c r="E29" s="68" t="s">
        <v>194</v>
      </c>
      <c r="F29" s="68" t="s">
        <v>164</v>
      </c>
      <c r="G29" s="138" t="s">
        <v>166</v>
      </c>
      <c r="H29" s="138" t="s">
        <v>195</v>
      </c>
      <c r="I29" s="138">
        <v>0</v>
      </c>
      <c r="J29" s="139">
        <v>62479</v>
      </c>
      <c r="K29" s="138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  <c r="U29" s="138">
        <v>0</v>
      </c>
      <c r="V29" s="138">
        <v>0</v>
      </c>
      <c r="W29" s="138">
        <v>0</v>
      </c>
      <c r="X29" s="138">
        <v>0</v>
      </c>
      <c r="Y29" s="138">
        <v>0</v>
      </c>
      <c r="Z29" s="138">
        <v>0</v>
      </c>
      <c r="AA29" s="139">
        <v>1240</v>
      </c>
      <c r="AB29" s="139">
        <v>215900</v>
      </c>
      <c r="AC29" s="139">
        <v>137410</v>
      </c>
      <c r="AD29" s="138">
        <v>276</v>
      </c>
      <c r="AE29" s="139">
        <v>104600</v>
      </c>
      <c r="AF29" s="139">
        <v>54355</v>
      </c>
      <c r="AG29" s="139">
        <v>2174</v>
      </c>
      <c r="AH29" s="139">
        <v>718223</v>
      </c>
      <c r="AI29" s="139">
        <v>50900</v>
      </c>
      <c r="AJ29" s="138">
        <v>80</v>
      </c>
      <c r="AK29" s="139">
        <v>46200</v>
      </c>
      <c r="AL29" s="139">
        <v>1200</v>
      </c>
      <c r="AM29" s="138">
        <v>463</v>
      </c>
      <c r="AN29" s="139">
        <v>136600</v>
      </c>
      <c r="AO29" s="139">
        <v>2000</v>
      </c>
      <c r="AP29" s="138">
        <v>134</v>
      </c>
      <c r="AQ29" s="139">
        <v>103900</v>
      </c>
      <c r="AR29" s="138">
        <v>600</v>
      </c>
      <c r="AS29" s="139">
        <v>1818</v>
      </c>
      <c r="AT29" s="139">
        <v>648137</v>
      </c>
      <c r="AU29" s="139">
        <v>1000</v>
      </c>
      <c r="AV29" s="138">
        <v>79</v>
      </c>
      <c r="AW29" s="139">
        <v>95880</v>
      </c>
      <c r="AX29" s="138">
        <v>0</v>
      </c>
      <c r="AY29" s="139">
        <v>1644</v>
      </c>
      <c r="AZ29" s="139">
        <v>588600</v>
      </c>
      <c r="BA29" s="138">
        <v>300</v>
      </c>
      <c r="BB29" s="138">
        <v>8</v>
      </c>
      <c r="BC29" s="139">
        <v>24240</v>
      </c>
      <c r="BD29" s="138">
        <v>500</v>
      </c>
      <c r="BE29" s="138">
        <v>6</v>
      </c>
      <c r="BF29" s="139">
        <v>2160</v>
      </c>
      <c r="BG29" s="138">
        <v>0</v>
      </c>
      <c r="BH29" s="138">
        <v>69</v>
      </c>
      <c r="BI29" s="139">
        <v>41400</v>
      </c>
      <c r="BJ29" s="138">
        <v>0</v>
      </c>
      <c r="BK29" s="138">
        <v>67</v>
      </c>
      <c r="BL29" s="139">
        <v>19900</v>
      </c>
      <c r="BM29" s="138">
        <v>0</v>
      </c>
      <c r="BN29" s="138">
        <v>1</v>
      </c>
      <c r="BO29" s="138">
        <v>500</v>
      </c>
      <c r="BP29" s="138">
        <v>0</v>
      </c>
      <c r="BQ29" s="138">
        <v>216</v>
      </c>
      <c r="BR29" s="140">
        <v>382252.5</v>
      </c>
      <c r="BS29" s="141">
        <v>2994505</v>
      </c>
      <c r="BT29" s="52">
        <f t="shared" si="3"/>
        <v>561000</v>
      </c>
      <c r="BU29" s="44">
        <f t="shared" si="4"/>
        <v>764423</v>
      </c>
      <c r="BV29" s="44">
        <f t="shared" si="5"/>
        <v>744017</v>
      </c>
      <c r="BW29" s="44">
        <f t="shared" si="6"/>
        <v>612840</v>
      </c>
      <c r="BX29" s="44">
        <f t="shared" si="7"/>
        <v>43560</v>
      </c>
      <c r="BY29" s="44">
        <f t="shared" si="8"/>
        <v>20400</v>
      </c>
      <c r="BZ29" s="52">
        <f t="shared" si="9"/>
        <v>248265</v>
      </c>
      <c r="CA29" s="52">
        <f t="shared" si="1"/>
        <v>2612252.5</v>
      </c>
      <c r="CB29" s="52">
        <f t="shared" si="10"/>
        <v>1567352</v>
      </c>
      <c r="CC29" s="59">
        <v>-1</v>
      </c>
      <c r="CD29" s="53">
        <f t="shared" si="11"/>
        <v>1567351</v>
      </c>
      <c r="CE29" s="10" t="str">
        <f t="shared" si="12"/>
        <v>촉법소년</v>
      </c>
      <c r="CF29" s="60" t="str">
        <f t="shared" si="13"/>
        <v>촉법소년</v>
      </c>
      <c r="CG29" s="60" t="b">
        <f t="shared" si="14"/>
        <v>1</v>
      </c>
      <c r="CH29" s="63" t="str">
        <f t="shared" si="15"/>
        <v>촉법소년</v>
      </c>
      <c r="CI29" s="64">
        <f t="shared" si="2"/>
        <v>1567351</v>
      </c>
      <c r="CJ29" s="63" t="s">
        <v>348</v>
      </c>
      <c r="CK29" s="71">
        <f>SUMIFS('컨텐츠별 매출 통계'!CV:CV,'컨텐츠별 매출 통계'!A:A,'작품별 집계'!A29,'컨텐츠별 매출 통계'!CF:CF,"2026-01")</f>
        <v>1567351</v>
      </c>
      <c r="CL29" s="70">
        <f t="shared" si="16"/>
        <v>0</v>
      </c>
    </row>
    <row r="30" spans="1:90">
      <c r="A30" s="68" t="s">
        <v>133</v>
      </c>
      <c r="B30" s="68">
        <v>535549</v>
      </c>
      <c r="C30" s="137"/>
      <c r="D30" s="68" t="s">
        <v>385</v>
      </c>
      <c r="E30" s="68" t="s">
        <v>187</v>
      </c>
      <c r="F30" s="68" t="s">
        <v>165</v>
      </c>
      <c r="G30" s="138" t="s">
        <v>166</v>
      </c>
      <c r="H30" s="138" t="s">
        <v>173</v>
      </c>
      <c r="I30" s="138">
        <v>0</v>
      </c>
      <c r="J30" s="139">
        <v>26054</v>
      </c>
      <c r="K30" s="138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  <c r="U30" s="138">
        <v>0</v>
      </c>
      <c r="V30" s="138">
        <v>0</v>
      </c>
      <c r="W30" s="138">
        <v>0</v>
      </c>
      <c r="X30" s="138">
        <v>0</v>
      </c>
      <c r="Y30" s="138">
        <v>0</v>
      </c>
      <c r="Z30" s="138">
        <v>0</v>
      </c>
      <c r="AA30" s="139">
        <v>1395</v>
      </c>
      <c r="AB30" s="139">
        <v>190400</v>
      </c>
      <c r="AC30" s="139">
        <v>209435</v>
      </c>
      <c r="AD30" s="138">
        <v>238</v>
      </c>
      <c r="AE30" s="139">
        <v>34800</v>
      </c>
      <c r="AF30" s="139">
        <v>75490</v>
      </c>
      <c r="AG30" s="139">
        <v>1024</v>
      </c>
      <c r="AH30" s="139">
        <v>335730</v>
      </c>
      <c r="AI30" s="139">
        <v>27200</v>
      </c>
      <c r="AJ30" s="138">
        <v>175</v>
      </c>
      <c r="AK30" s="139">
        <v>48960</v>
      </c>
      <c r="AL30" s="139">
        <v>28700</v>
      </c>
      <c r="AM30" s="138">
        <v>255</v>
      </c>
      <c r="AN30" s="139">
        <v>73900</v>
      </c>
      <c r="AO30" s="139">
        <v>2100</v>
      </c>
      <c r="AP30" s="138">
        <v>41</v>
      </c>
      <c r="AQ30" s="139">
        <v>16000</v>
      </c>
      <c r="AR30" s="138">
        <v>400</v>
      </c>
      <c r="AS30" s="138">
        <v>887</v>
      </c>
      <c r="AT30" s="139">
        <v>313920</v>
      </c>
      <c r="AU30" s="139">
        <v>2000</v>
      </c>
      <c r="AV30" s="138">
        <v>200</v>
      </c>
      <c r="AW30" s="139">
        <v>95880</v>
      </c>
      <c r="AX30" s="138">
        <v>0</v>
      </c>
      <c r="AY30" s="139">
        <v>1238</v>
      </c>
      <c r="AZ30" s="139">
        <v>441120</v>
      </c>
      <c r="BA30" s="139">
        <v>1000</v>
      </c>
      <c r="BB30" s="138">
        <v>303</v>
      </c>
      <c r="BC30" s="139">
        <v>144720</v>
      </c>
      <c r="BD30" s="138">
        <v>0</v>
      </c>
      <c r="BE30" s="138">
        <v>15</v>
      </c>
      <c r="BF30" s="139">
        <v>5400</v>
      </c>
      <c r="BG30" s="138">
        <v>0</v>
      </c>
      <c r="BH30" s="138">
        <v>33</v>
      </c>
      <c r="BI30" s="139">
        <v>15240</v>
      </c>
      <c r="BJ30" s="138">
        <v>0</v>
      </c>
      <c r="BK30" s="138">
        <v>0</v>
      </c>
      <c r="BL30" s="138">
        <v>0</v>
      </c>
      <c r="BM30" s="138">
        <v>0</v>
      </c>
      <c r="BN30" s="138">
        <v>0</v>
      </c>
      <c r="BO30" s="138">
        <v>0</v>
      </c>
      <c r="BP30" s="138">
        <v>0</v>
      </c>
      <c r="BQ30" s="138">
        <v>0</v>
      </c>
      <c r="BR30" s="140">
        <v>220216.8</v>
      </c>
      <c r="BS30" s="141">
        <v>2062395</v>
      </c>
      <c r="BT30" s="52">
        <f t="shared" si="3"/>
        <v>315100</v>
      </c>
      <c r="BU30" s="44">
        <f t="shared" si="4"/>
        <v>384690</v>
      </c>
      <c r="BV30" s="44">
        <f t="shared" si="5"/>
        <v>409800</v>
      </c>
      <c r="BW30" s="44">
        <f t="shared" si="6"/>
        <v>585840</v>
      </c>
      <c r="BX30" s="44">
        <f t="shared" si="7"/>
        <v>20640</v>
      </c>
      <c r="BY30" s="44">
        <f t="shared" si="8"/>
        <v>0</v>
      </c>
      <c r="BZ30" s="52">
        <f t="shared" si="9"/>
        <v>346325</v>
      </c>
      <c r="CA30" s="52">
        <f t="shared" si="1"/>
        <v>1842178.2</v>
      </c>
      <c r="CB30" s="52">
        <f t="shared" si="10"/>
        <v>1105307</v>
      </c>
      <c r="CC30" s="59"/>
      <c r="CD30" s="53">
        <f t="shared" si="11"/>
        <v>1105307</v>
      </c>
      <c r="CE30" s="10" t="str">
        <f t="shared" si="12"/>
        <v>진주</v>
      </c>
      <c r="CF30" s="60" t="str">
        <f t="shared" si="13"/>
        <v>진주</v>
      </c>
      <c r="CG30" s="60" t="b">
        <f t="shared" si="14"/>
        <v>1</v>
      </c>
      <c r="CH30" s="63" t="str">
        <f t="shared" si="15"/>
        <v>진주</v>
      </c>
      <c r="CI30" s="64">
        <f t="shared" si="2"/>
        <v>1105307</v>
      </c>
      <c r="CJ30" s="63" t="s">
        <v>348</v>
      </c>
      <c r="CK30" s="71">
        <f>SUMIFS('컨텐츠별 매출 통계'!CV:CV,'컨텐츠별 매출 통계'!A:A,'작품별 집계'!A30,'컨텐츠별 매출 통계'!CF:CF,"2026-01")</f>
        <v>1105307</v>
      </c>
      <c r="CL30" s="70">
        <f t="shared" si="16"/>
        <v>0</v>
      </c>
    </row>
    <row r="31" spans="1:90">
      <c r="A31" s="68" t="s">
        <v>113</v>
      </c>
      <c r="B31" s="68">
        <v>452717</v>
      </c>
      <c r="C31" s="137"/>
      <c r="D31" s="68" t="s">
        <v>385</v>
      </c>
      <c r="E31" s="68" t="s">
        <v>201</v>
      </c>
      <c r="F31" s="68" t="s">
        <v>201</v>
      </c>
      <c r="G31" s="138" t="s">
        <v>96</v>
      </c>
      <c r="H31" s="138" t="s">
        <v>202</v>
      </c>
      <c r="I31" s="138">
        <v>0</v>
      </c>
      <c r="J31" s="139">
        <v>59276</v>
      </c>
      <c r="K31" s="138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  <c r="U31" s="138">
        <v>0</v>
      </c>
      <c r="V31" s="138">
        <v>0</v>
      </c>
      <c r="W31" s="138">
        <v>0</v>
      </c>
      <c r="X31" s="138">
        <v>0</v>
      </c>
      <c r="Y31" s="138">
        <v>0</v>
      </c>
      <c r="Z31" s="138">
        <v>0</v>
      </c>
      <c r="AA31" s="139">
        <v>2072</v>
      </c>
      <c r="AB31" s="139">
        <v>187200</v>
      </c>
      <c r="AC31" s="139">
        <v>144845</v>
      </c>
      <c r="AD31" s="139">
        <v>1036</v>
      </c>
      <c r="AE31" s="139">
        <v>277400</v>
      </c>
      <c r="AF31" s="139">
        <v>184460</v>
      </c>
      <c r="AG31" s="139">
        <v>1086</v>
      </c>
      <c r="AH31" s="139">
        <v>207139</v>
      </c>
      <c r="AI31" s="139">
        <v>14100</v>
      </c>
      <c r="AJ31" s="138">
        <v>197</v>
      </c>
      <c r="AK31" s="139">
        <v>58080</v>
      </c>
      <c r="AL31" s="139">
        <v>39800</v>
      </c>
      <c r="AM31" s="138">
        <v>677</v>
      </c>
      <c r="AN31" s="139">
        <v>88300</v>
      </c>
      <c r="AO31" s="139">
        <v>1500</v>
      </c>
      <c r="AP31" s="138">
        <v>53</v>
      </c>
      <c r="AQ31" s="139">
        <v>32300</v>
      </c>
      <c r="AR31" s="138">
        <v>0</v>
      </c>
      <c r="AS31" s="139">
        <v>1215</v>
      </c>
      <c r="AT31" s="139">
        <v>202237</v>
      </c>
      <c r="AU31" s="138">
        <v>0</v>
      </c>
      <c r="AV31" s="138">
        <v>17</v>
      </c>
      <c r="AW31" s="139">
        <v>120600</v>
      </c>
      <c r="AX31" s="138">
        <v>0</v>
      </c>
      <c r="AY31" s="138">
        <v>744</v>
      </c>
      <c r="AZ31" s="139">
        <v>176040</v>
      </c>
      <c r="BA31" s="138">
        <v>500</v>
      </c>
      <c r="BB31" s="138">
        <v>20</v>
      </c>
      <c r="BC31" s="139">
        <v>43320</v>
      </c>
      <c r="BD31" s="138">
        <v>0</v>
      </c>
      <c r="BE31" s="138">
        <v>0</v>
      </c>
      <c r="BF31" s="138">
        <v>0</v>
      </c>
      <c r="BG31" s="138">
        <v>0</v>
      </c>
      <c r="BH31" s="138">
        <v>0</v>
      </c>
      <c r="BI31" s="138">
        <v>0</v>
      </c>
      <c r="BJ31" s="138">
        <v>0</v>
      </c>
      <c r="BK31" s="138">
        <v>3</v>
      </c>
      <c r="BL31" s="139">
        <v>4300</v>
      </c>
      <c r="BM31" s="138">
        <v>0</v>
      </c>
      <c r="BN31" s="138">
        <v>0</v>
      </c>
      <c r="BO31" s="138">
        <v>0</v>
      </c>
      <c r="BP31" s="138">
        <v>0</v>
      </c>
      <c r="BQ31" s="138">
        <v>0</v>
      </c>
      <c r="BR31" s="140">
        <v>149792.79999999999</v>
      </c>
      <c r="BS31" s="141">
        <v>1782121</v>
      </c>
      <c r="BT31" s="52">
        <f t="shared" si="3"/>
        <v>585200</v>
      </c>
      <c r="BU31" s="44">
        <f t="shared" si="4"/>
        <v>265219</v>
      </c>
      <c r="BV31" s="44">
        <f t="shared" si="5"/>
        <v>322837</v>
      </c>
      <c r="BW31" s="44">
        <f t="shared" si="6"/>
        <v>219360</v>
      </c>
      <c r="BX31" s="44">
        <f t="shared" si="7"/>
        <v>0</v>
      </c>
      <c r="BY31" s="44">
        <f t="shared" si="8"/>
        <v>4300</v>
      </c>
      <c r="BZ31" s="52">
        <f t="shared" si="9"/>
        <v>385205</v>
      </c>
      <c r="CA31" s="52">
        <f t="shared" si="1"/>
        <v>1632328.2</v>
      </c>
      <c r="CB31" s="52">
        <f t="shared" si="10"/>
        <v>979397</v>
      </c>
      <c r="CC31" s="59"/>
      <c r="CD31" s="53">
        <f t="shared" si="11"/>
        <v>979397</v>
      </c>
      <c r="CE31" s="10" t="str">
        <f t="shared" si="12"/>
        <v>여고생 드래곤</v>
      </c>
      <c r="CF31" s="60" t="str">
        <f t="shared" si="13"/>
        <v>여고생드래곤</v>
      </c>
      <c r="CG31" s="60" t="b">
        <f t="shared" si="14"/>
        <v>0</v>
      </c>
      <c r="CH31" s="63" t="str">
        <f t="shared" si="15"/>
        <v>여고생드래곤</v>
      </c>
      <c r="CI31" s="64">
        <f t="shared" si="2"/>
        <v>979397</v>
      </c>
      <c r="CJ31" s="63" t="s">
        <v>348</v>
      </c>
      <c r="CK31" s="71">
        <f>SUMIFS('컨텐츠별 매출 통계'!CV:CV,'컨텐츠별 매출 통계'!A:A,'작품별 집계'!A31,'컨텐츠별 매출 통계'!CF:CF,"2026-01")</f>
        <v>979397</v>
      </c>
      <c r="CL31" s="70">
        <f t="shared" si="16"/>
        <v>0</v>
      </c>
    </row>
    <row r="32" spans="1:90">
      <c r="A32" s="68" t="s">
        <v>131</v>
      </c>
      <c r="B32" s="68">
        <v>518182</v>
      </c>
      <c r="C32" s="137"/>
      <c r="D32" s="68" t="s">
        <v>385</v>
      </c>
      <c r="E32" s="68" t="s">
        <v>165</v>
      </c>
      <c r="F32" s="68" t="s">
        <v>165</v>
      </c>
      <c r="G32" s="138" t="s">
        <v>166</v>
      </c>
      <c r="H32" s="138" t="s">
        <v>203</v>
      </c>
      <c r="I32" s="138">
        <v>0</v>
      </c>
      <c r="J32" s="139">
        <v>23049</v>
      </c>
      <c r="K32" s="138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  <c r="U32" s="138">
        <v>0</v>
      </c>
      <c r="V32" s="138">
        <v>0</v>
      </c>
      <c r="W32" s="138">
        <v>0</v>
      </c>
      <c r="X32" s="138">
        <v>0</v>
      </c>
      <c r="Y32" s="138">
        <v>0</v>
      </c>
      <c r="Z32" s="138">
        <v>0</v>
      </c>
      <c r="AA32" s="138">
        <v>747</v>
      </c>
      <c r="AB32" s="139">
        <v>106100</v>
      </c>
      <c r="AC32" s="139">
        <v>106255</v>
      </c>
      <c r="AD32" s="138">
        <v>10</v>
      </c>
      <c r="AE32" s="139">
        <v>6500</v>
      </c>
      <c r="AF32" s="139">
        <v>3600</v>
      </c>
      <c r="AG32" s="139">
        <v>1270</v>
      </c>
      <c r="AH32" s="139">
        <v>423630</v>
      </c>
      <c r="AI32" s="139">
        <v>24600</v>
      </c>
      <c r="AJ32" s="138">
        <v>62</v>
      </c>
      <c r="AK32" s="139">
        <v>3840</v>
      </c>
      <c r="AL32" s="139">
        <v>21600</v>
      </c>
      <c r="AM32" s="138">
        <v>171</v>
      </c>
      <c r="AN32" s="139">
        <v>50100</v>
      </c>
      <c r="AO32" s="138">
        <v>900</v>
      </c>
      <c r="AP32" s="138">
        <v>1</v>
      </c>
      <c r="AQ32" s="138">
        <v>400</v>
      </c>
      <c r="AR32" s="138">
        <v>0</v>
      </c>
      <c r="AS32" s="138">
        <v>496</v>
      </c>
      <c r="AT32" s="139">
        <v>174340</v>
      </c>
      <c r="AU32" s="139">
        <v>1000</v>
      </c>
      <c r="AV32" s="138">
        <v>1</v>
      </c>
      <c r="AW32" s="139">
        <v>21480</v>
      </c>
      <c r="AX32" s="138">
        <v>0</v>
      </c>
      <c r="AY32" s="138">
        <v>325</v>
      </c>
      <c r="AZ32" s="139">
        <v>114000</v>
      </c>
      <c r="BA32" s="139">
        <v>1000</v>
      </c>
      <c r="BB32" s="138">
        <v>0</v>
      </c>
      <c r="BC32" s="138">
        <v>0</v>
      </c>
      <c r="BD32" s="138">
        <v>0</v>
      </c>
      <c r="BE32" s="138">
        <v>0</v>
      </c>
      <c r="BF32" s="138">
        <v>0</v>
      </c>
      <c r="BG32" s="138">
        <v>0</v>
      </c>
      <c r="BH32" s="138">
        <v>0</v>
      </c>
      <c r="BI32" s="138">
        <v>0</v>
      </c>
      <c r="BJ32" s="138">
        <v>0</v>
      </c>
      <c r="BK32" s="138">
        <v>44</v>
      </c>
      <c r="BL32" s="139">
        <v>13200</v>
      </c>
      <c r="BM32" s="138">
        <v>0</v>
      </c>
      <c r="BN32" s="138">
        <v>0</v>
      </c>
      <c r="BO32" s="138">
        <v>0</v>
      </c>
      <c r="BP32" s="138">
        <v>0</v>
      </c>
      <c r="BQ32" s="138">
        <v>0</v>
      </c>
      <c r="BR32" s="140">
        <v>164956</v>
      </c>
      <c r="BS32" s="141">
        <v>1072545</v>
      </c>
      <c r="BT32" s="52">
        <f t="shared" si="3"/>
        <v>163100</v>
      </c>
      <c r="BU32" s="44">
        <f t="shared" si="4"/>
        <v>427470</v>
      </c>
      <c r="BV32" s="44">
        <f t="shared" si="5"/>
        <v>195820</v>
      </c>
      <c r="BW32" s="44">
        <f t="shared" si="6"/>
        <v>114000</v>
      </c>
      <c r="BX32" s="44">
        <f t="shared" si="7"/>
        <v>0</v>
      </c>
      <c r="BY32" s="44">
        <f t="shared" si="8"/>
        <v>13200</v>
      </c>
      <c r="BZ32" s="52">
        <f t="shared" si="9"/>
        <v>158955</v>
      </c>
      <c r="CA32" s="52">
        <f t="shared" si="1"/>
        <v>907589</v>
      </c>
      <c r="CB32" s="52">
        <f t="shared" si="10"/>
        <v>544553</v>
      </c>
      <c r="CC32" s="59"/>
      <c r="CD32" s="53">
        <f t="shared" si="11"/>
        <v>544553</v>
      </c>
      <c r="CE32" s="10" t="str">
        <f t="shared" si="12"/>
        <v>얼짱시대</v>
      </c>
      <c r="CF32" s="60" t="str">
        <f t="shared" si="13"/>
        <v>얼짱시대</v>
      </c>
      <c r="CG32" s="60" t="b">
        <f t="shared" si="14"/>
        <v>1</v>
      </c>
      <c r="CH32" s="63" t="str">
        <f t="shared" si="15"/>
        <v>얼짱시대</v>
      </c>
      <c r="CI32" s="64">
        <f t="shared" si="2"/>
        <v>544553</v>
      </c>
      <c r="CJ32" s="63" t="s">
        <v>348</v>
      </c>
      <c r="CK32" s="71">
        <f>SUMIFS('컨텐츠별 매출 통계'!CV:CV,'컨텐츠별 매출 통계'!A:A,'작품별 집계'!A32,'컨텐츠별 매출 통계'!CF:CF,"2026-01")</f>
        <v>544553</v>
      </c>
      <c r="CL32" s="70">
        <f t="shared" si="16"/>
        <v>0</v>
      </c>
    </row>
    <row r="33" spans="1:90">
      <c r="A33" s="68" t="s">
        <v>140</v>
      </c>
      <c r="B33" s="68">
        <v>549371</v>
      </c>
      <c r="C33" s="137"/>
      <c r="D33" s="68" t="s">
        <v>385</v>
      </c>
      <c r="E33" s="68" t="s">
        <v>178</v>
      </c>
      <c r="F33" s="68" t="s">
        <v>165</v>
      </c>
      <c r="G33" s="138" t="s">
        <v>170</v>
      </c>
      <c r="H33" s="138" t="s">
        <v>179</v>
      </c>
      <c r="I33" s="138">
        <v>0</v>
      </c>
      <c r="J33" s="139">
        <v>20722</v>
      </c>
      <c r="K33" s="138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  <c r="U33" s="138">
        <v>0</v>
      </c>
      <c r="V33" s="138">
        <v>0</v>
      </c>
      <c r="W33" s="138">
        <v>0</v>
      </c>
      <c r="X33" s="138">
        <v>0</v>
      </c>
      <c r="Y33" s="138">
        <v>0</v>
      </c>
      <c r="Z33" s="138">
        <v>0</v>
      </c>
      <c r="AA33" s="138">
        <v>986</v>
      </c>
      <c r="AB33" s="139">
        <v>113100</v>
      </c>
      <c r="AC33" s="139">
        <v>76955</v>
      </c>
      <c r="AD33" s="138">
        <v>49</v>
      </c>
      <c r="AE33" s="139">
        <v>10800</v>
      </c>
      <c r="AF33" s="139">
        <v>3315</v>
      </c>
      <c r="AG33" s="139">
        <v>2171</v>
      </c>
      <c r="AH33" s="139">
        <v>459720</v>
      </c>
      <c r="AI33" s="139">
        <v>50400</v>
      </c>
      <c r="AJ33" s="138">
        <v>11</v>
      </c>
      <c r="AK33" s="138">
        <v>0</v>
      </c>
      <c r="AL33" s="139">
        <v>3300</v>
      </c>
      <c r="AM33" s="138">
        <v>118</v>
      </c>
      <c r="AN33" s="139">
        <v>23600</v>
      </c>
      <c r="AO33" s="138">
        <v>0</v>
      </c>
      <c r="AP33" s="138">
        <v>0</v>
      </c>
      <c r="AQ33" s="138">
        <v>0</v>
      </c>
      <c r="AR33" s="138">
        <v>0</v>
      </c>
      <c r="AS33" s="138">
        <v>583</v>
      </c>
      <c r="AT33" s="139">
        <v>139572</v>
      </c>
      <c r="AU33" s="138">
        <v>0</v>
      </c>
      <c r="AV33" s="138">
        <v>0</v>
      </c>
      <c r="AW33" s="138">
        <v>0</v>
      </c>
      <c r="AX33" s="138">
        <v>0</v>
      </c>
      <c r="AY33" s="138">
        <v>642</v>
      </c>
      <c r="AZ33" s="139">
        <v>153720</v>
      </c>
      <c r="BA33" s="138">
        <v>200</v>
      </c>
      <c r="BB33" s="138">
        <v>0</v>
      </c>
      <c r="BC33" s="138">
        <v>0</v>
      </c>
      <c r="BD33" s="138">
        <v>0</v>
      </c>
      <c r="BE33" s="138">
        <v>0</v>
      </c>
      <c r="BF33" s="138">
        <v>0</v>
      </c>
      <c r="BG33" s="138">
        <v>0</v>
      </c>
      <c r="BH33" s="138">
        <v>0</v>
      </c>
      <c r="BI33" s="138">
        <v>0</v>
      </c>
      <c r="BJ33" s="138">
        <v>0</v>
      </c>
      <c r="BK33" s="138">
        <v>100</v>
      </c>
      <c r="BL33" s="139">
        <v>20000</v>
      </c>
      <c r="BM33" s="138">
        <v>0</v>
      </c>
      <c r="BN33" s="138">
        <v>0</v>
      </c>
      <c r="BO33" s="138">
        <v>0</v>
      </c>
      <c r="BP33" s="138">
        <v>0</v>
      </c>
      <c r="BQ33" s="138">
        <v>0</v>
      </c>
      <c r="BR33" s="140">
        <v>173133</v>
      </c>
      <c r="BS33" s="141">
        <v>1054682</v>
      </c>
      <c r="BT33" s="52">
        <f t="shared" si="3"/>
        <v>147500</v>
      </c>
      <c r="BU33" s="44">
        <f t="shared" si="4"/>
        <v>459720</v>
      </c>
      <c r="BV33" s="44">
        <f t="shared" si="5"/>
        <v>139572</v>
      </c>
      <c r="BW33" s="44">
        <f t="shared" si="6"/>
        <v>153720</v>
      </c>
      <c r="BX33" s="44">
        <f t="shared" si="7"/>
        <v>0</v>
      </c>
      <c r="BY33" s="44">
        <f t="shared" si="8"/>
        <v>20000</v>
      </c>
      <c r="BZ33" s="52">
        <f t="shared" si="9"/>
        <v>134170</v>
      </c>
      <c r="CA33" s="52">
        <f t="shared" si="1"/>
        <v>881549</v>
      </c>
      <c r="CB33" s="52">
        <f t="shared" si="10"/>
        <v>528929</v>
      </c>
      <c r="CC33" s="59"/>
      <c r="CD33" s="53">
        <f t="shared" si="11"/>
        <v>528929</v>
      </c>
      <c r="CE33" s="10" t="str">
        <f t="shared" si="12"/>
        <v>좋아? 죽어!</v>
      </c>
      <c r="CF33" s="60" t="str">
        <f t="shared" si="13"/>
        <v>좋아?죽어!</v>
      </c>
      <c r="CG33" s="60" t="b">
        <f t="shared" si="14"/>
        <v>0</v>
      </c>
      <c r="CH33" s="63" t="str">
        <f t="shared" si="15"/>
        <v>좋아?죽어!</v>
      </c>
      <c r="CI33" s="64">
        <f t="shared" si="2"/>
        <v>528929</v>
      </c>
      <c r="CJ33" s="63" t="s">
        <v>348</v>
      </c>
      <c r="CK33" s="71">
        <f>SUMIFS('컨텐츠별 매출 통계'!CV:CV,'컨텐츠별 매출 통계'!A:A,'작품별 집계'!A33,'컨텐츠별 매출 통계'!CF:CF,"2026-01")</f>
        <v>528929</v>
      </c>
      <c r="CL33" s="70">
        <f t="shared" si="16"/>
        <v>0</v>
      </c>
    </row>
    <row r="34" spans="1:90">
      <c r="A34" s="68" t="s">
        <v>114</v>
      </c>
      <c r="B34" s="68">
        <v>470703</v>
      </c>
      <c r="C34" s="137"/>
      <c r="D34" s="68" t="s">
        <v>385</v>
      </c>
      <c r="E34" s="68" t="s">
        <v>199</v>
      </c>
      <c r="F34" s="68" t="s">
        <v>165</v>
      </c>
      <c r="G34" s="138" t="s">
        <v>166</v>
      </c>
      <c r="H34" s="138" t="s">
        <v>200</v>
      </c>
      <c r="I34" s="138">
        <v>0</v>
      </c>
      <c r="J34" s="139">
        <v>15302</v>
      </c>
      <c r="K34" s="138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  <c r="U34" s="138">
        <v>0</v>
      </c>
      <c r="V34" s="138">
        <v>0</v>
      </c>
      <c r="W34" s="138">
        <v>0</v>
      </c>
      <c r="X34" s="138">
        <v>0</v>
      </c>
      <c r="Y34" s="138">
        <v>0</v>
      </c>
      <c r="Z34" s="138">
        <v>0</v>
      </c>
      <c r="AA34" s="138">
        <v>546</v>
      </c>
      <c r="AB34" s="139">
        <v>62900</v>
      </c>
      <c r="AC34" s="139">
        <v>96840</v>
      </c>
      <c r="AD34" s="138">
        <v>6</v>
      </c>
      <c r="AE34" s="138">
        <v>0</v>
      </c>
      <c r="AF34" s="139">
        <v>3000</v>
      </c>
      <c r="AG34" s="138">
        <v>901</v>
      </c>
      <c r="AH34" s="139">
        <v>274680</v>
      </c>
      <c r="AI34" s="139">
        <v>40500</v>
      </c>
      <c r="AJ34" s="138">
        <v>83</v>
      </c>
      <c r="AK34" s="139">
        <v>66840</v>
      </c>
      <c r="AL34" s="139">
        <v>7500</v>
      </c>
      <c r="AM34" s="138">
        <v>154</v>
      </c>
      <c r="AN34" s="139">
        <v>45000</v>
      </c>
      <c r="AO34" s="139">
        <v>1100</v>
      </c>
      <c r="AP34" s="138">
        <v>67</v>
      </c>
      <c r="AQ34" s="139">
        <v>32900</v>
      </c>
      <c r="AR34" s="138">
        <v>600</v>
      </c>
      <c r="AS34" s="138">
        <v>399</v>
      </c>
      <c r="AT34" s="139">
        <v>140580</v>
      </c>
      <c r="AU34" s="138">
        <v>0</v>
      </c>
      <c r="AV34" s="138">
        <v>5</v>
      </c>
      <c r="AW34" s="139">
        <v>3000</v>
      </c>
      <c r="AX34" s="138">
        <v>0</v>
      </c>
      <c r="AY34" s="138">
        <v>522</v>
      </c>
      <c r="AZ34" s="139">
        <v>186720</v>
      </c>
      <c r="BA34" s="138">
        <v>0</v>
      </c>
      <c r="BB34" s="138">
        <v>0</v>
      </c>
      <c r="BC34" s="138">
        <v>0</v>
      </c>
      <c r="BD34" s="138">
        <v>0</v>
      </c>
      <c r="BE34" s="138">
        <v>0</v>
      </c>
      <c r="BF34" s="138">
        <v>0</v>
      </c>
      <c r="BG34" s="138">
        <v>0</v>
      </c>
      <c r="BH34" s="138">
        <v>0</v>
      </c>
      <c r="BI34" s="138">
        <v>0</v>
      </c>
      <c r="BJ34" s="138">
        <v>0</v>
      </c>
      <c r="BK34" s="138">
        <v>0</v>
      </c>
      <c r="BL34" s="138">
        <v>0</v>
      </c>
      <c r="BM34" s="138">
        <v>0</v>
      </c>
      <c r="BN34" s="138">
        <v>0</v>
      </c>
      <c r="BO34" s="138">
        <v>0</v>
      </c>
      <c r="BP34" s="138">
        <v>0</v>
      </c>
      <c r="BQ34" s="138">
        <v>0</v>
      </c>
      <c r="BR34" s="140">
        <v>137842.79999999999</v>
      </c>
      <c r="BS34" s="141">
        <v>962160</v>
      </c>
      <c r="BT34" s="52">
        <f t="shared" si="3"/>
        <v>140800</v>
      </c>
      <c r="BU34" s="44">
        <f t="shared" si="4"/>
        <v>341520</v>
      </c>
      <c r="BV34" s="44">
        <f t="shared" si="5"/>
        <v>143580</v>
      </c>
      <c r="BW34" s="44">
        <f t="shared" si="6"/>
        <v>186720</v>
      </c>
      <c r="BX34" s="44">
        <f t="shared" si="7"/>
        <v>0</v>
      </c>
      <c r="BY34" s="44">
        <f t="shared" si="8"/>
        <v>0</v>
      </c>
      <c r="BZ34" s="52">
        <f t="shared" si="9"/>
        <v>149540</v>
      </c>
      <c r="CA34" s="52">
        <f t="shared" si="1"/>
        <v>824317.2</v>
      </c>
      <c r="CB34" s="52">
        <f t="shared" si="10"/>
        <v>494590</v>
      </c>
      <c r="CC34" s="59"/>
      <c r="CD34" s="53">
        <f t="shared" si="11"/>
        <v>494590</v>
      </c>
      <c r="CE34" s="10" t="str">
        <f t="shared" si="12"/>
        <v>사형소년</v>
      </c>
      <c r="CF34" s="60" t="str">
        <f t="shared" si="13"/>
        <v>사형소년</v>
      </c>
      <c r="CG34" s="60" t="b">
        <f t="shared" si="14"/>
        <v>1</v>
      </c>
      <c r="CH34" s="63" t="str">
        <f t="shared" si="15"/>
        <v>사형소년</v>
      </c>
      <c r="CI34" s="64">
        <f t="shared" si="2"/>
        <v>494590</v>
      </c>
      <c r="CJ34" s="63" t="s">
        <v>348</v>
      </c>
      <c r="CK34" s="71">
        <f>SUMIFS('컨텐츠별 매출 통계'!CV:CV,'컨텐츠별 매출 통계'!A:A,'작품별 집계'!A34,'컨텐츠별 매출 통계'!CF:CF,"2026-01")</f>
        <v>494590</v>
      </c>
      <c r="CL34" s="70">
        <f t="shared" si="16"/>
        <v>0</v>
      </c>
    </row>
    <row r="35" spans="1:90">
      <c r="A35" s="68" t="s">
        <v>134</v>
      </c>
      <c r="B35" s="68">
        <v>545140</v>
      </c>
      <c r="C35" s="137"/>
      <c r="D35" s="68" t="s">
        <v>385</v>
      </c>
      <c r="E35" s="68" t="s">
        <v>185</v>
      </c>
      <c r="F35" s="68" t="s">
        <v>165</v>
      </c>
      <c r="G35" s="138" t="s">
        <v>166</v>
      </c>
      <c r="H35" s="138" t="s">
        <v>186</v>
      </c>
      <c r="I35" s="138">
        <v>0</v>
      </c>
      <c r="J35" s="139">
        <v>21924</v>
      </c>
      <c r="K35" s="138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  <c r="U35" s="138">
        <v>0</v>
      </c>
      <c r="V35" s="138">
        <v>0</v>
      </c>
      <c r="W35" s="138">
        <v>0</v>
      </c>
      <c r="X35" s="138">
        <v>0</v>
      </c>
      <c r="Y35" s="138">
        <v>0</v>
      </c>
      <c r="Z35" s="138">
        <v>0</v>
      </c>
      <c r="AA35" s="138">
        <v>400</v>
      </c>
      <c r="AB35" s="139">
        <v>58600</v>
      </c>
      <c r="AC35" s="139">
        <v>54635</v>
      </c>
      <c r="AD35" s="138">
        <v>137</v>
      </c>
      <c r="AE35" s="139">
        <v>44200</v>
      </c>
      <c r="AF35" s="139">
        <v>31930</v>
      </c>
      <c r="AG35" s="138">
        <v>796</v>
      </c>
      <c r="AH35" s="139">
        <v>261068</v>
      </c>
      <c r="AI35" s="139">
        <v>19900</v>
      </c>
      <c r="AJ35" s="138">
        <v>24</v>
      </c>
      <c r="AK35" s="139">
        <v>11280</v>
      </c>
      <c r="AL35" s="138">
        <v>0</v>
      </c>
      <c r="AM35" s="138">
        <v>83</v>
      </c>
      <c r="AN35" s="139">
        <v>24100</v>
      </c>
      <c r="AO35" s="138">
        <v>600</v>
      </c>
      <c r="AP35" s="138">
        <v>54</v>
      </c>
      <c r="AQ35" s="139">
        <v>26400</v>
      </c>
      <c r="AR35" s="138">
        <v>0</v>
      </c>
      <c r="AS35" s="138">
        <v>520</v>
      </c>
      <c r="AT35" s="139">
        <v>185760</v>
      </c>
      <c r="AU35" s="138">
        <v>0</v>
      </c>
      <c r="AV35" s="138">
        <v>4</v>
      </c>
      <c r="AW35" s="139">
        <v>17280</v>
      </c>
      <c r="AX35" s="138">
        <v>0</v>
      </c>
      <c r="AY35" s="138">
        <v>292</v>
      </c>
      <c r="AZ35" s="139">
        <v>102960</v>
      </c>
      <c r="BA35" s="139">
        <v>1000</v>
      </c>
      <c r="BB35" s="138">
        <v>49</v>
      </c>
      <c r="BC35" s="139">
        <v>23520</v>
      </c>
      <c r="BD35" s="138">
        <v>0</v>
      </c>
      <c r="BE35" s="138">
        <v>1</v>
      </c>
      <c r="BF35" s="138">
        <v>360</v>
      </c>
      <c r="BG35" s="138">
        <v>0</v>
      </c>
      <c r="BH35" s="138">
        <v>0</v>
      </c>
      <c r="BI35" s="138">
        <v>0</v>
      </c>
      <c r="BJ35" s="138">
        <v>0</v>
      </c>
      <c r="BK35" s="138">
        <v>0</v>
      </c>
      <c r="BL35" s="138">
        <v>0</v>
      </c>
      <c r="BM35" s="138">
        <v>0</v>
      </c>
      <c r="BN35" s="138">
        <v>0</v>
      </c>
      <c r="BO35" s="138">
        <v>0</v>
      </c>
      <c r="BP35" s="138">
        <v>0</v>
      </c>
      <c r="BQ35" s="138">
        <v>0</v>
      </c>
      <c r="BR35" s="140">
        <v>118019.4</v>
      </c>
      <c r="BS35" s="141">
        <v>863593</v>
      </c>
      <c r="BT35" s="52">
        <f t="shared" si="3"/>
        <v>153300</v>
      </c>
      <c r="BU35" s="44">
        <f t="shared" si="4"/>
        <v>272348</v>
      </c>
      <c r="BV35" s="44">
        <f t="shared" si="5"/>
        <v>203040</v>
      </c>
      <c r="BW35" s="44">
        <f t="shared" si="6"/>
        <v>126480</v>
      </c>
      <c r="BX35" s="44">
        <f t="shared" si="7"/>
        <v>360</v>
      </c>
      <c r="BY35" s="44">
        <f t="shared" si="8"/>
        <v>0</v>
      </c>
      <c r="BZ35" s="52">
        <f t="shared" si="9"/>
        <v>108065</v>
      </c>
      <c r="CA35" s="52">
        <f t="shared" si="1"/>
        <v>745573.6</v>
      </c>
      <c r="CB35" s="52">
        <f t="shared" si="10"/>
        <v>447344</v>
      </c>
      <c r="CC35" s="59"/>
      <c r="CD35" s="53">
        <f t="shared" si="11"/>
        <v>447344</v>
      </c>
      <c r="CE35" s="10" t="str">
        <f t="shared" si="12"/>
        <v>인생존망2</v>
      </c>
      <c r="CF35" s="60" t="str">
        <f t="shared" si="13"/>
        <v>인생존망2</v>
      </c>
      <c r="CG35" s="60" t="b">
        <f t="shared" si="14"/>
        <v>1</v>
      </c>
      <c r="CH35" s="63" t="str">
        <f t="shared" si="15"/>
        <v>인생존망2</v>
      </c>
      <c r="CI35" s="64">
        <f t="shared" si="2"/>
        <v>447344</v>
      </c>
      <c r="CJ35" s="63" t="s">
        <v>348</v>
      </c>
      <c r="CK35" s="71">
        <f>SUMIFS('컨텐츠별 매출 통계'!CV:CV,'컨텐츠별 매출 통계'!A:A,'작품별 집계'!A35,'컨텐츠별 매출 통계'!CF:CF,"2026-01")</f>
        <v>447344</v>
      </c>
      <c r="CL35" s="70">
        <f t="shared" si="16"/>
        <v>0</v>
      </c>
    </row>
    <row r="36" spans="1:90">
      <c r="A36" s="68" t="s">
        <v>111</v>
      </c>
      <c r="B36" s="68">
        <v>450429</v>
      </c>
      <c r="C36" s="137"/>
      <c r="D36" s="68" t="s">
        <v>385</v>
      </c>
      <c r="E36" s="68" t="s">
        <v>165</v>
      </c>
      <c r="F36" s="68" t="s">
        <v>165</v>
      </c>
      <c r="G36" s="138" t="s">
        <v>170</v>
      </c>
      <c r="H36" s="138" t="s">
        <v>196</v>
      </c>
      <c r="I36" s="138">
        <v>0</v>
      </c>
      <c r="J36" s="139">
        <v>17827</v>
      </c>
      <c r="K36" s="138">
        <v>0</v>
      </c>
      <c r="L36" s="138">
        <v>0</v>
      </c>
      <c r="M36" s="138">
        <v>0</v>
      </c>
      <c r="N36" s="138">
        <v>0</v>
      </c>
      <c r="O36" s="138">
        <v>0</v>
      </c>
      <c r="P36" s="138">
        <v>0</v>
      </c>
      <c r="Q36" s="138">
        <v>0</v>
      </c>
      <c r="R36" s="138">
        <v>0</v>
      </c>
      <c r="S36" s="138">
        <v>0</v>
      </c>
      <c r="T36" s="138">
        <v>0</v>
      </c>
      <c r="U36" s="138">
        <v>0</v>
      </c>
      <c r="V36" s="138">
        <v>0</v>
      </c>
      <c r="W36" s="138">
        <v>0</v>
      </c>
      <c r="X36" s="138">
        <v>0</v>
      </c>
      <c r="Y36" s="138">
        <v>0</v>
      </c>
      <c r="Z36" s="138">
        <v>0</v>
      </c>
      <c r="AA36" s="138">
        <v>559</v>
      </c>
      <c r="AB36" s="139">
        <v>103100</v>
      </c>
      <c r="AC36" s="139">
        <v>95650</v>
      </c>
      <c r="AD36" s="138">
        <v>3</v>
      </c>
      <c r="AE36" s="139">
        <v>9400</v>
      </c>
      <c r="AF36" s="139">
        <v>2900</v>
      </c>
      <c r="AG36" s="138">
        <v>888</v>
      </c>
      <c r="AH36" s="139">
        <v>335722</v>
      </c>
      <c r="AI36" s="139">
        <v>41200</v>
      </c>
      <c r="AJ36" s="138">
        <v>0</v>
      </c>
      <c r="AK36" s="138">
        <v>0</v>
      </c>
      <c r="AL36" s="138">
        <v>0</v>
      </c>
      <c r="AM36" s="138">
        <v>37</v>
      </c>
      <c r="AN36" s="139">
        <v>12200</v>
      </c>
      <c r="AO36" s="138">
        <v>0</v>
      </c>
      <c r="AP36" s="138">
        <v>0</v>
      </c>
      <c r="AQ36" s="138">
        <v>0</v>
      </c>
      <c r="AR36" s="138">
        <v>0</v>
      </c>
      <c r="AS36" s="138">
        <v>239</v>
      </c>
      <c r="AT36" s="139">
        <v>105293</v>
      </c>
      <c r="AU36" s="138">
        <v>500</v>
      </c>
      <c r="AV36" s="138">
        <v>0</v>
      </c>
      <c r="AW36" s="138">
        <v>0</v>
      </c>
      <c r="AX36" s="138">
        <v>0</v>
      </c>
      <c r="AY36" s="138">
        <v>293</v>
      </c>
      <c r="AZ36" s="139">
        <v>128640</v>
      </c>
      <c r="BA36" s="138">
        <v>200</v>
      </c>
      <c r="BB36" s="138">
        <v>4</v>
      </c>
      <c r="BC36" s="139">
        <v>3960</v>
      </c>
      <c r="BD36" s="138">
        <v>0</v>
      </c>
      <c r="BE36" s="138">
        <v>0</v>
      </c>
      <c r="BF36" s="138">
        <v>0</v>
      </c>
      <c r="BG36" s="138">
        <v>0</v>
      </c>
      <c r="BH36" s="138">
        <v>0</v>
      </c>
      <c r="BI36" s="138">
        <v>0</v>
      </c>
      <c r="BJ36" s="138">
        <v>0</v>
      </c>
      <c r="BK36" s="138">
        <v>0</v>
      </c>
      <c r="BL36" s="138">
        <v>0</v>
      </c>
      <c r="BM36" s="138">
        <v>0</v>
      </c>
      <c r="BN36" s="138">
        <v>0</v>
      </c>
      <c r="BO36" s="138">
        <v>0</v>
      </c>
      <c r="BP36" s="138">
        <v>0</v>
      </c>
      <c r="BQ36" s="138">
        <v>37</v>
      </c>
      <c r="BR36" s="140">
        <v>126919.8</v>
      </c>
      <c r="BS36" s="141">
        <v>838765</v>
      </c>
      <c r="BT36" s="52">
        <f t="shared" si="3"/>
        <v>124700</v>
      </c>
      <c r="BU36" s="44">
        <f t="shared" si="4"/>
        <v>335722</v>
      </c>
      <c r="BV36" s="44">
        <f t="shared" si="5"/>
        <v>105293</v>
      </c>
      <c r="BW36" s="44">
        <f t="shared" si="6"/>
        <v>132600</v>
      </c>
      <c r="BX36" s="44">
        <f t="shared" si="7"/>
        <v>0</v>
      </c>
      <c r="BY36" s="44">
        <f t="shared" si="8"/>
        <v>0</v>
      </c>
      <c r="BZ36" s="52">
        <f t="shared" si="9"/>
        <v>140450</v>
      </c>
      <c r="CA36" s="52">
        <f t="shared" si="1"/>
        <v>711845.2</v>
      </c>
      <c r="CB36" s="52">
        <f t="shared" si="10"/>
        <v>427107</v>
      </c>
      <c r="CC36" s="59"/>
      <c r="CD36" s="53">
        <f t="shared" si="11"/>
        <v>427107</v>
      </c>
      <c r="CE36" s="10" t="str">
        <f t="shared" si="12"/>
        <v>신림/남/22</v>
      </c>
      <c r="CF36" s="60" t="str">
        <f t="shared" si="13"/>
        <v>신림/남/22</v>
      </c>
      <c r="CG36" s="60" t="b">
        <f t="shared" si="14"/>
        <v>1</v>
      </c>
      <c r="CH36" s="63" t="str">
        <f t="shared" si="15"/>
        <v>신림/남/22</v>
      </c>
      <c r="CI36" s="64">
        <f t="shared" si="2"/>
        <v>427107</v>
      </c>
      <c r="CJ36" s="63" t="s">
        <v>348</v>
      </c>
      <c r="CK36" s="71">
        <f>SUMIFS('컨텐츠별 매출 통계'!CV:CV,'컨텐츠별 매출 통계'!A:A,'작품별 집계'!A36,'컨텐츠별 매출 통계'!CF:CF,"2026-01")</f>
        <v>427107</v>
      </c>
      <c r="CL36" s="70">
        <f t="shared" si="16"/>
        <v>0</v>
      </c>
    </row>
    <row r="37" spans="1:90">
      <c r="A37" s="68" t="s">
        <v>156</v>
      </c>
      <c r="B37" s="68">
        <v>593379</v>
      </c>
      <c r="C37" s="137"/>
      <c r="D37" s="68" t="s">
        <v>385</v>
      </c>
      <c r="E37" s="68" t="s">
        <v>183</v>
      </c>
      <c r="F37" s="68" t="s">
        <v>183</v>
      </c>
      <c r="G37" s="138" t="s">
        <v>166</v>
      </c>
      <c r="H37" s="138" t="s">
        <v>373</v>
      </c>
      <c r="I37" s="138">
        <v>0</v>
      </c>
      <c r="J37" s="139">
        <v>7068</v>
      </c>
      <c r="K37" s="138">
        <v>0</v>
      </c>
      <c r="L37" s="138">
        <v>0</v>
      </c>
      <c r="M37" s="138">
        <v>0</v>
      </c>
      <c r="N37" s="138">
        <v>0</v>
      </c>
      <c r="O37" s="138">
        <v>0</v>
      </c>
      <c r="P37" s="138">
        <v>0</v>
      </c>
      <c r="Q37" s="138">
        <v>0</v>
      </c>
      <c r="R37" s="138">
        <v>0</v>
      </c>
      <c r="S37" s="138">
        <v>0</v>
      </c>
      <c r="T37" s="138">
        <v>0</v>
      </c>
      <c r="U37" s="138">
        <v>0</v>
      </c>
      <c r="V37" s="138">
        <v>0</v>
      </c>
      <c r="W37" s="138">
        <v>0</v>
      </c>
      <c r="X37" s="138">
        <v>0</v>
      </c>
      <c r="Y37" s="138">
        <v>0</v>
      </c>
      <c r="Z37" s="138">
        <v>0</v>
      </c>
      <c r="AA37" s="138">
        <v>672</v>
      </c>
      <c r="AB37" s="139">
        <v>90260</v>
      </c>
      <c r="AC37" s="139">
        <v>101515</v>
      </c>
      <c r="AD37" s="138">
        <v>1</v>
      </c>
      <c r="AE37" s="138">
        <v>0</v>
      </c>
      <c r="AF37" s="139">
        <v>2000</v>
      </c>
      <c r="AG37" s="138">
        <v>456</v>
      </c>
      <c r="AH37" s="139">
        <v>154314</v>
      </c>
      <c r="AI37" s="139">
        <v>7400</v>
      </c>
      <c r="AJ37" s="138">
        <v>0</v>
      </c>
      <c r="AK37" s="138">
        <v>0</v>
      </c>
      <c r="AL37" s="138">
        <v>0</v>
      </c>
      <c r="AM37" s="138">
        <v>173</v>
      </c>
      <c r="AN37" s="139">
        <v>49400</v>
      </c>
      <c r="AO37" s="139">
        <v>2300</v>
      </c>
      <c r="AP37" s="138">
        <v>43</v>
      </c>
      <c r="AQ37" s="139">
        <v>17200</v>
      </c>
      <c r="AR37" s="138">
        <v>0</v>
      </c>
      <c r="AS37" s="138">
        <v>380</v>
      </c>
      <c r="AT37" s="139">
        <v>132778</v>
      </c>
      <c r="AU37" s="138">
        <v>0</v>
      </c>
      <c r="AV37" s="138">
        <v>0</v>
      </c>
      <c r="AW37" s="138">
        <v>0</v>
      </c>
      <c r="AX37" s="138">
        <v>0</v>
      </c>
      <c r="AY37" s="138">
        <v>674</v>
      </c>
      <c r="AZ37" s="139">
        <v>240840</v>
      </c>
      <c r="BA37" s="138">
        <v>200</v>
      </c>
      <c r="BB37" s="138">
        <v>29</v>
      </c>
      <c r="BC37" s="139">
        <v>13920</v>
      </c>
      <c r="BD37" s="138">
        <v>0</v>
      </c>
      <c r="BE37" s="138">
        <v>1</v>
      </c>
      <c r="BF37" s="138">
        <v>360</v>
      </c>
      <c r="BG37" s="138">
        <v>0</v>
      </c>
      <c r="BH37" s="138">
        <v>0</v>
      </c>
      <c r="BI37" s="138">
        <v>0</v>
      </c>
      <c r="BJ37" s="138">
        <v>0</v>
      </c>
      <c r="BK37" s="138">
        <v>0</v>
      </c>
      <c r="BL37" s="138">
        <v>0</v>
      </c>
      <c r="BM37" s="138">
        <v>0</v>
      </c>
      <c r="BN37" s="138">
        <v>0</v>
      </c>
      <c r="BO37" s="138">
        <v>0</v>
      </c>
      <c r="BP37" s="138">
        <v>0</v>
      </c>
      <c r="BQ37" s="138">
        <v>0</v>
      </c>
      <c r="BR37" s="140">
        <v>87235</v>
      </c>
      <c r="BS37" s="141">
        <v>812487</v>
      </c>
      <c r="BT37" s="52">
        <f t="shared" si="3"/>
        <v>156860</v>
      </c>
      <c r="BU37" s="44">
        <f t="shared" si="4"/>
        <v>154314</v>
      </c>
      <c r="BV37" s="44">
        <f t="shared" si="5"/>
        <v>132778</v>
      </c>
      <c r="BW37" s="44">
        <f t="shared" si="6"/>
        <v>254760</v>
      </c>
      <c r="BX37" s="44">
        <f t="shared" si="7"/>
        <v>360</v>
      </c>
      <c r="BY37" s="44">
        <f t="shared" si="8"/>
        <v>0</v>
      </c>
      <c r="BZ37" s="52">
        <f t="shared" si="9"/>
        <v>113415</v>
      </c>
      <c r="CA37" s="52">
        <f t="shared" si="1"/>
        <v>725252</v>
      </c>
      <c r="CB37" s="52">
        <f t="shared" si="10"/>
        <v>435151</v>
      </c>
      <c r="CC37" s="59"/>
      <c r="CD37" s="53">
        <f t="shared" si="11"/>
        <v>435151</v>
      </c>
      <c r="CE37" s="10" t="str">
        <f t="shared" si="12"/>
        <v>벤타블랙</v>
      </c>
      <c r="CF37" s="60" t="str">
        <f t="shared" si="13"/>
        <v>벤타블랙</v>
      </c>
      <c r="CG37" s="60" t="b">
        <f t="shared" si="14"/>
        <v>1</v>
      </c>
      <c r="CH37" s="63" t="str">
        <f t="shared" si="15"/>
        <v>벤타블랙</v>
      </c>
      <c r="CI37" s="64">
        <f t="shared" si="2"/>
        <v>435151</v>
      </c>
      <c r="CJ37" s="63" t="s">
        <v>348</v>
      </c>
      <c r="CK37" s="71">
        <f>SUMIFS('컨텐츠별 매출 통계'!CV:CV,'컨텐츠별 매출 통계'!A:A,'작품별 집계'!A37,'컨텐츠별 매출 통계'!CF:CF,"2026-01")</f>
        <v>435151</v>
      </c>
      <c r="CL37" s="70">
        <f t="shared" si="16"/>
        <v>0</v>
      </c>
    </row>
    <row r="38" spans="1:90">
      <c r="A38" s="68" t="s">
        <v>120</v>
      </c>
      <c r="B38" s="68">
        <v>488013</v>
      </c>
      <c r="C38" s="137"/>
      <c r="D38" s="68" t="s">
        <v>385</v>
      </c>
      <c r="E38" s="68" t="s">
        <v>206</v>
      </c>
      <c r="F38" s="68" t="s">
        <v>165</v>
      </c>
      <c r="G38" s="138" t="s">
        <v>166</v>
      </c>
      <c r="H38" s="138" t="s">
        <v>207</v>
      </c>
      <c r="I38" s="138">
        <v>0</v>
      </c>
      <c r="J38" s="139">
        <v>11196</v>
      </c>
      <c r="K38" s="138">
        <v>0</v>
      </c>
      <c r="L38" s="138">
        <v>0</v>
      </c>
      <c r="M38" s="138">
        <v>0</v>
      </c>
      <c r="N38" s="138">
        <v>0</v>
      </c>
      <c r="O38" s="138">
        <v>0</v>
      </c>
      <c r="P38" s="138">
        <v>0</v>
      </c>
      <c r="Q38" s="138">
        <v>0</v>
      </c>
      <c r="R38" s="138">
        <v>0</v>
      </c>
      <c r="S38" s="138">
        <v>0</v>
      </c>
      <c r="T38" s="138">
        <v>0</v>
      </c>
      <c r="U38" s="138">
        <v>0</v>
      </c>
      <c r="V38" s="138">
        <v>0</v>
      </c>
      <c r="W38" s="138">
        <v>0</v>
      </c>
      <c r="X38" s="138">
        <v>0</v>
      </c>
      <c r="Y38" s="138">
        <v>0</v>
      </c>
      <c r="Z38" s="138">
        <v>0</v>
      </c>
      <c r="AA38" s="139">
        <v>1031</v>
      </c>
      <c r="AB38" s="139">
        <v>74500</v>
      </c>
      <c r="AC38" s="139">
        <v>122485</v>
      </c>
      <c r="AD38" s="138">
        <v>121</v>
      </c>
      <c r="AE38" s="139">
        <v>11700</v>
      </c>
      <c r="AF38" s="139">
        <v>24945</v>
      </c>
      <c r="AG38" s="139">
        <v>1125</v>
      </c>
      <c r="AH38" s="139">
        <v>211356</v>
      </c>
      <c r="AI38" s="139">
        <v>49800</v>
      </c>
      <c r="AJ38" s="138">
        <v>72</v>
      </c>
      <c r="AK38" s="139">
        <v>2160</v>
      </c>
      <c r="AL38" s="139">
        <v>19800</v>
      </c>
      <c r="AM38" s="138">
        <v>68</v>
      </c>
      <c r="AN38" s="139">
        <v>13300</v>
      </c>
      <c r="AO38" s="138">
        <v>200</v>
      </c>
      <c r="AP38" s="138">
        <v>2</v>
      </c>
      <c r="AQ38" s="138">
        <v>600</v>
      </c>
      <c r="AR38" s="138">
        <v>0</v>
      </c>
      <c r="AS38" s="138">
        <v>493</v>
      </c>
      <c r="AT38" s="139">
        <v>117560</v>
      </c>
      <c r="AU38" s="138">
        <v>200</v>
      </c>
      <c r="AV38" s="138">
        <v>3</v>
      </c>
      <c r="AW38" s="139">
        <v>6840</v>
      </c>
      <c r="AX38" s="138">
        <v>0</v>
      </c>
      <c r="AY38" s="138">
        <v>284</v>
      </c>
      <c r="AZ38" s="139">
        <v>67920</v>
      </c>
      <c r="BA38" s="138">
        <v>0</v>
      </c>
      <c r="BB38" s="138">
        <v>2</v>
      </c>
      <c r="BC38" s="138">
        <v>720</v>
      </c>
      <c r="BD38" s="138">
        <v>0</v>
      </c>
      <c r="BE38" s="138">
        <v>0</v>
      </c>
      <c r="BF38" s="138">
        <v>0</v>
      </c>
      <c r="BG38" s="138">
        <v>0</v>
      </c>
      <c r="BH38" s="138">
        <v>0</v>
      </c>
      <c r="BI38" s="138">
        <v>0</v>
      </c>
      <c r="BJ38" s="138">
        <v>0</v>
      </c>
      <c r="BK38" s="138">
        <v>0</v>
      </c>
      <c r="BL38" s="138">
        <v>0</v>
      </c>
      <c r="BM38" s="138">
        <v>0</v>
      </c>
      <c r="BN38" s="138">
        <v>0</v>
      </c>
      <c r="BO38" s="138">
        <v>0</v>
      </c>
      <c r="BP38" s="138">
        <v>0</v>
      </c>
      <c r="BQ38" s="138">
        <v>0</v>
      </c>
      <c r="BR38" s="140">
        <v>85675.4</v>
      </c>
      <c r="BS38" s="141">
        <v>724086</v>
      </c>
      <c r="BT38" s="52">
        <f t="shared" si="3"/>
        <v>100100</v>
      </c>
      <c r="BU38" s="44">
        <f t="shared" si="4"/>
        <v>213516</v>
      </c>
      <c r="BV38" s="44">
        <f t="shared" si="5"/>
        <v>124400</v>
      </c>
      <c r="BW38" s="44">
        <f t="shared" si="6"/>
        <v>68640</v>
      </c>
      <c r="BX38" s="44">
        <f t="shared" si="7"/>
        <v>0</v>
      </c>
      <c r="BY38" s="44">
        <f t="shared" si="8"/>
        <v>0</v>
      </c>
      <c r="BZ38" s="52">
        <f t="shared" si="9"/>
        <v>217430</v>
      </c>
      <c r="CA38" s="52">
        <f t="shared" si="1"/>
        <v>638410.6</v>
      </c>
      <c r="CB38" s="52">
        <f t="shared" si="10"/>
        <v>383046</v>
      </c>
      <c r="CC38" s="59">
        <v>1</v>
      </c>
      <c r="CD38" s="53">
        <f t="shared" si="11"/>
        <v>383047</v>
      </c>
      <c r="CE38" s="10" t="str">
        <f t="shared" si="12"/>
        <v>궤짝</v>
      </c>
      <c r="CF38" s="60" t="str">
        <f t="shared" si="13"/>
        <v>궤짝</v>
      </c>
      <c r="CG38" s="60" t="b">
        <f t="shared" si="14"/>
        <v>1</v>
      </c>
      <c r="CH38" s="63" t="str">
        <f t="shared" si="15"/>
        <v>궤짝</v>
      </c>
      <c r="CI38" s="64">
        <f t="shared" si="2"/>
        <v>383047</v>
      </c>
      <c r="CJ38" s="63" t="s">
        <v>348</v>
      </c>
      <c r="CK38" s="71">
        <f>SUMIFS('컨텐츠별 매출 통계'!CV:CV,'컨텐츠별 매출 통계'!A:A,'작품별 집계'!A38,'컨텐츠별 매출 통계'!CF:CF,"2026-01")</f>
        <v>383047</v>
      </c>
      <c r="CL38" s="70">
        <f t="shared" si="16"/>
        <v>0</v>
      </c>
    </row>
    <row r="39" spans="1:90">
      <c r="A39" s="68" t="s">
        <v>141</v>
      </c>
      <c r="B39" s="68">
        <v>553515</v>
      </c>
      <c r="C39" s="137"/>
      <c r="D39" s="68" t="s">
        <v>385</v>
      </c>
      <c r="E39" s="68" t="s">
        <v>193</v>
      </c>
      <c r="F39" s="68" t="s">
        <v>165</v>
      </c>
      <c r="G39" s="138" t="s">
        <v>166</v>
      </c>
      <c r="H39" s="138" t="s">
        <v>374</v>
      </c>
      <c r="I39" s="138">
        <v>0</v>
      </c>
      <c r="J39" s="139">
        <v>3645</v>
      </c>
      <c r="K39" s="138">
        <v>0</v>
      </c>
      <c r="L39" s="138">
        <v>0</v>
      </c>
      <c r="M39" s="138">
        <v>0</v>
      </c>
      <c r="N39" s="138">
        <v>0</v>
      </c>
      <c r="O39" s="138">
        <v>0</v>
      </c>
      <c r="P39" s="138">
        <v>0</v>
      </c>
      <c r="Q39" s="138">
        <v>0</v>
      </c>
      <c r="R39" s="138">
        <v>0</v>
      </c>
      <c r="S39" s="138">
        <v>0</v>
      </c>
      <c r="T39" s="138">
        <v>0</v>
      </c>
      <c r="U39" s="138">
        <v>0</v>
      </c>
      <c r="V39" s="138">
        <v>0</v>
      </c>
      <c r="W39" s="138">
        <v>0</v>
      </c>
      <c r="X39" s="138">
        <v>0</v>
      </c>
      <c r="Y39" s="138">
        <v>0</v>
      </c>
      <c r="Z39" s="138">
        <v>0</v>
      </c>
      <c r="AA39" s="138">
        <v>541</v>
      </c>
      <c r="AB39" s="139">
        <v>77900</v>
      </c>
      <c r="AC39" s="139">
        <v>75145</v>
      </c>
      <c r="AD39" s="138">
        <v>8</v>
      </c>
      <c r="AE39" s="138">
        <v>0</v>
      </c>
      <c r="AF39" s="139">
        <v>23200</v>
      </c>
      <c r="AG39" s="138">
        <v>497</v>
      </c>
      <c r="AH39" s="139">
        <v>177768</v>
      </c>
      <c r="AI39" s="139">
        <v>4600</v>
      </c>
      <c r="AJ39" s="138">
        <v>0</v>
      </c>
      <c r="AK39" s="138">
        <v>0</v>
      </c>
      <c r="AL39" s="138">
        <v>0</v>
      </c>
      <c r="AM39" s="138">
        <v>39</v>
      </c>
      <c r="AN39" s="139">
        <v>10800</v>
      </c>
      <c r="AO39" s="138">
        <v>900</v>
      </c>
      <c r="AP39" s="138">
        <v>0</v>
      </c>
      <c r="AQ39" s="138">
        <v>0</v>
      </c>
      <c r="AR39" s="138">
        <v>0</v>
      </c>
      <c r="AS39" s="138">
        <v>474</v>
      </c>
      <c r="AT39" s="139">
        <v>165166</v>
      </c>
      <c r="AU39" s="138">
        <v>300</v>
      </c>
      <c r="AV39" s="138">
        <v>0</v>
      </c>
      <c r="AW39" s="138">
        <v>0</v>
      </c>
      <c r="AX39" s="138">
        <v>0</v>
      </c>
      <c r="AY39" s="138">
        <v>410</v>
      </c>
      <c r="AZ39" s="139">
        <v>145920</v>
      </c>
      <c r="BA39" s="138">
        <v>300</v>
      </c>
      <c r="BB39" s="138">
        <v>0</v>
      </c>
      <c r="BC39" s="138">
        <v>0</v>
      </c>
      <c r="BD39" s="138">
        <v>0</v>
      </c>
      <c r="BE39" s="138">
        <v>0</v>
      </c>
      <c r="BF39" s="138">
        <v>0</v>
      </c>
      <c r="BG39" s="138">
        <v>0</v>
      </c>
      <c r="BH39" s="138">
        <v>0</v>
      </c>
      <c r="BI39" s="138">
        <v>0</v>
      </c>
      <c r="BJ39" s="138">
        <v>0</v>
      </c>
      <c r="BK39" s="138">
        <v>1</v>
      </c>
      <c r="BL39" s="138">
        <v>300</v>
      </c>
      <c r="BM39" s="138">
        <v>0</v>
      </c>
      <c r="BN39" s="138">
        <v>0</v>
      </c>
      <c r="BO39" s="138">
        <v>0</v>
      </c>
      <c r="BP39" s="138">
        <v>0</v>
      </c>
      <c r="BQ39" s="138">
        <v>0</v>
      </c>
      <c r="BR39" s="140">
        <v>85685.8</v>
      </c>
      <c r="BS39" s="141">
        <v>682299</v>
      </c>
      <c r="BT39" s="52">
        <f t="shared" si="3"/>
        <v>88700</v>
      </c>
      <c r="BU39" s="44">
        <f t="shared" si="4"/>
        <v>177768</v>
      </c>
      <c r="BV39" s="44">
        <f t="shared" si="5"/>
        <v>165166</v>
      </c>
      <c r="BW39" s="44">
        <f t="shared" si="6"/>
        <v>145920</v>
      </c>
      <c r="BX39" s="44">
        <f t="shared" si="7"/>
        <v>0</v>
      </c>
      <c r="BY39" s="44">
        <f t="shared" si="8"/>
        <v>300</v>
      </c>
      <c r="BZ39" s="52">
        <f t="shared" si="9"/>
        <v>104445</v>
      </c>
      <c r="CA39" s="52">
        <f t="shared" si="1"/>
        <v>596613.19999999995</v>
      </c>
      <c r="CB39" s="52">
        <f t="shared" si="10"/>
        <v>357968</v>
      </c>
      <c r="CC39" s="59"/>
      <c r="CD39" s="53">
        <f t="shared" si="11"/>
        <v>357968</v>
      </c>
      <c r="CE39" s="10" t="str">
        <f t="shared" si="12"/>
        <v>룸비니</v>
      </c>
      <c r="CF39" s="60" t="str">
        <f t="shared" si="13"/>
        <v>룸비니</v>
      </c>
      <c r="CG39" s="60" t="b">
        <f t="shared" si="14"/>
        <v>1</v>
      </c>
      <c r="CH39" s="63" t="str">
        <f t="shared" si="15"/>
        <v>룸비니</v>
      </c>
      <c r="CI39" s="64">
        <f t="shared" ref="CI39:CI55" si="17">IFERROR(_xlfn.XLOOKUP(CH39,$CF$5:$CF$60,$CD$5:$CD$60),"")</f>
        <v>357968</v>
      </c>
      <c r="CJ39" s="63" t="s">
        <v>348</v>
      </c>
      <c r="CK39" s="71">
        <f>SUMIFS('컨텐츠별 매출 통계'!CV:CV,'컨텐츠별 매출 통계'!A:A,'작품별 집계'!A39,'컨텐츠별 매출 통계'!CF:CF,"2026-01")</f>
        <v>357968</v>
      </c>
      <c r="CL39" s="70">
        <f t="shared" si="16"/>
        <v>0</v>
      </c>
    </row>
    <row r="40" spans="1:90">
      <c r="A40" s="68" t="s">
        <v>163</v>
      </c>
      <c r="B40" s="68">
        <v>609850</v>
      </c>
      <c r="C40" s="137"/>
      <c r="D40" s="68" t="s">
        <v>385</v>
      </c>
      <c r="E40" s="68" t="s">
        <v>243</v>
      </c>
      <c r="F40" s="68" t="s">
        <v>165</v>
      </c>
      <c r="G40" s="138" t="s">
        <v>166</v>
      </c>
      <c r="H40" s="138" t="s">
        <v>394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  <c r="N40" s="138">
        <v>0</v>
      </c>
      <c r="O40" s="138">
        <v>0</v>
      </c>
      <c r="P40" s="138">
        <v>0</v>
      </c>
      <c r="Q40" s="138">
        <v>0</v>
      </c>
      <c r="R40" s="138">
        <v>0</v>
      </c>
      <c r="S40" s="138">
        <v>0</v>
      </c>
      <c r="T40" s="138">
        <v>0</v>
      </c>
      <c r="U40" s="138">
        <v>0</v>
      </c>
      <c r="V40" s="138">
        <v>0</v>
      </c>
      <c r="W40" s="138">
        <v>0</v>
      </c>
      <c r="X40" s="138">
        <v>0</v>
      </c>
      <c r="Y40" s="138">
        <v>0</v>
      </c>
      <c r="Z40" s="138">
        <v>0</v>
      </c>
      <c r="AA40" s="138">
        <v>687</v>
      </c>
      <c r="AB40" s="139">
        <v>89600</v>
      </c>
      <c r="AC40" s="139">
        <v>103600</v>
      </c>
      <c r="AD40" s="138">
        <v>4</v>
      </c>
      <c r="AE40" s="138">
        <v>0</v>
      </c>
      <c r="AF40" s="139">
        <v>1600</v>
      </c>
      <c r="AG40" s="138">
        <v>342</v>
      </c>
      <c r="AH40" s="139">
        <v>104019</v>
      </c>
      <c r="AI40" s="139">
        <v>15400</v>
      </c>
      <c r="AJ40" s="138">
        <v>2</v>
      </c>
      <c r="AK40" s="138">
        <v>960</v>
      </c>
      <c r="AL40" s="138">
        <v>0</v>
      </c>
      <c r="AM40" s="138">
        <v>118</v>
      </c>
      <c r="AN40" s="139">
        <v>34500</v>
      </c>
      <c r="AO40" s="138">
        <v>300</v>
      </c>
      <c r="AP40" s="138">
        <v>1</v>
      </c>
      <c r="AQ40" s="138">
        <v>400</v>
      </c>
      <c r="AR40" s="138">
        <v>0</v>
      </c>
      <c r="AS40" s="138">
        <v>321</v>
      </c>
      <c r="AT40" s="139">
        <v>113438</v>
      </c>
      <c r="AU40" s="138">
        <v>0</v>
      </c>
      <c r="AV40" s="138">
        <v>3</v>
      </c>
      <c r="AW40" s="139">
        <v>1440</v>
      </c>
      <c r="AX40" s="138">
        <v>0</v>
      </c>
      <c r="AY40" s="138">
        <v>524</v>
      </c>
      <c r="AZ40" s="139">
        <v>185880</v>
      </c>
      <c r="BA40" s="138">
        <v>0</v>
      </c>
      <c r="BB40" s="138">
        <v>1</v>
      </c>
      <c r="BC40" s="138">
        <v>480</v>
      </c>
      <c r="BD40" s="138">
        <v>0</v>
      </c>
      <c r="BE40" s="138">
        <v>5</v>
      </c>
      <c r="BF40" s="139">
        <v>1320</v>
      </c>
      <c r="BG40" s="138">
        <v>0</v>
      </c>
      <c r="BH40" s="138">
        <v>0</v>
      </c>
      <c r="BI40" s="138">
        <v>0</v>
      </c>
      <c r="BJ40" s="138">
        <v>0</v>
      </c>
      <c r="BK40" s="138">
        <v>5</v>
      </c>
      <c r="BL40" s="139">
        <v>1300</v>
      </c>
      <c r="BM40" s="138">
        <v>0</v>
      </c>
      <c r="BN40" s="138">
        <v>0</v>
      </c>
      <c r="BO40" s="138">
        <v>0</v>
      </c>
      <c r="BP40" s="138">
        <v>0</v>
      </c>
      <c r="BQ40" s="138">
        <v>0</v>
      </c>
      <c r="BR40" s="140">
        <v>63789.5</v>
      </c>
      <c r="BS40" s="141">
        <v>654237</v>
      </c>
      <c r="BT40" s="52">
        <f t="shared" si="3"/>
        <v>124500</v>
      </c>
      <c r="BU40" s="44">
        <f t="shared" si="4"/>
        <v>104979</v>
      </c>
      <c r="BV40" s="44">
        <f t="shared" si="5"/>
        <v>114878</v>
      </c>
      <c r="BW40" s="44">
        <f t="shared" si="6"/>
        <v>186360</v>
      </c>
      <c r="BX40" s="44">
        <f t="shared" si="7"/>
        <v>1320</v>
      </c>
      <c r="BY40" s="44">
        <f t="shared" si="8"/>
        <v>1300</v>
      </c>
      <c r="BZ40" s="52">
        <f t="shared" si="9"/>
        <v>120900</v>
      </c>
      <c r="CA40" s="52">
        <f t="shared" si="1"/>
        <v>590447.5</v>
      </c>
      <c r="CB40" s="52">
        <f t="shared" si="10"/>
        <v>354269</v>
      </c>
      <c r="CC40" s="59">
        <v>-1</v>
      </c>
      <c r="CD40" s="53">
        <f t="shared" si="11"/>
        <v>354268</v>
      </c>
      <c r="CE40" s="10" t="str">
        <f t="shared" si="12"/>
        <v>냉동무사</v>
      </c>
      <c r="CF40" s="60" t="str">
        <f t="shared" si="13"/>
        <v>냉동무사</v>
      </c>
      <c r="CG40" s="60" t="b">
        <f t="shared" si="14"/>
        <v>1</v>
      </c>
      <c r="CH40" s="63" t="str">
        <f t="shared" si="15"/>
        <v>냉동무사</v>
      </c>
      <c r="CI40" s="64">
        <f t="shared" si="17"/>
        <v>354268</v>
      </c>
      <c r="CJ40" s="63" t="s">
        <v>348</v>
      </c>
      <c r="CK40" s="71">
        <f>SUMIFS('컨텐츠별 매출 통계'!CV:CV,'컨텐츠별 매출 통계'!A:A,'작품별 집계'!A40,'컨텐츠별 매출 통계'!CF:CF,"2026-01")</f>
        <v>354268</v>
      </c>
      <c r="CL40" s="70">
        <f t="shared" si="16"/>
        <v>0</v>
      </c>
    </row>
    <row r="41" spans="1:90">
      <c r="A41" s="68" t="s">
        <v>106</v>
      </c>
      <c r="B41" s="68">
        <v>534844</v>
      </c>
      <c r="C41" s="137"/>
      <c r="D41" s="68" t="s">
        <v>385</v>
      </c>
      <c r="E41" s="68" t="s">
        <v>182</v>
      </c>
      <c r="F41" s="68" t="s">
        <v>165</v>
      </c>
      <c r="G41" s="138" t="s">
        <v>166</v>
      </c>
      <c r="H41" s="138" t="s">
        <v>319</v>
      </c>
      <c r="I41" s="138">
        <v>0</v>
      </c>
      <c r="J41" s="139">
        <v>15367</v>
      </c>
      <c r="K41" s="138">
        <v>0</v>
      </c>
      <c r="L41" s="138">
        <v>0</v>
      </c>
      <c r="M41" s="138">
        <v>0</v>
      </c>
      <c r="N41" s="138">
        <v>0</v>
      </c>
      <c r="O41" s="138">
        <v>0</v>
      </c>
      <c r="P41" s="138">
        <v>0</v>
      </c>
      <c r="Q41" s="138">
        <v>0</v>
      </c>
      <c r="R41" s="138">
        <v>0</v>
      </c>
      <c r="S41" s="138">
        <v>0</v>
      </c>
      <c r="T41" s="138">
        <v>0</v>
      </c>
      <c r="U41" s="138">
        <v>0</v>
      </c>
      <c r="V41" s="138">
        <v>0</v>
      </c>
      <c r="W41" s="138">
        <v>0</v>
      </c>
      <c r="X41" s="138">
        <v>0</v>
      </c>
      <c r="Y41" s="138">
        <v>0</v>
      </c>
      <c r="Z41" s="138">
        <v>0</v>
      </c>
      <c r="AA41" s="138">
        <v>836</v>
      </c>
      <c r="AB41" s="139">
        <v>68000</v>
      </c>
      <c r="AC41" s="139">
        <v>95350</v>
      </c>
      <c r="AD41" s="138">
        <v>2</v>
      </c>
      <c r="AE41" s="139">
        <v>1500</v>
      </c>
      <c r="AF41" s="138">
        <v>0</v>
      </c>
      <c r="AG41" s="138">
        <v>495</v>
      </c>
      <c r="AH41" s="139">
        <v>103750</v>
      </c>
      <c r="AI41" s="139">
        <v>12600</v>
      </c>
      <c r="AJ41" s="138">
        <v>0</v>
      </c>
      <c r="AK41" s="138">
        <v>0</v>
      </c>
      <c r="AL41" s="138">
        <v>0</v>
      </c>
      <c r="AM41" s="138">
        <v>43</v>
      </c>
      <c r="AN41" s="139">
        <v>8600</v>
      </c>
      <c r="AO41" s="138">
        <v>0</v>
      </c>
      <c r="AP41" s="138">
        <v>0</v>
      </c>
      <c r="AQ41" s="138">
        <v>0</v>
      </c>
      <c r="AR41" s="138">
        <v>0</v>
      </c>
      <c r="AS41" s="138">
        <v>369</v>
      </c>
      <c r="AT41" s="139">
        <v>87816</v>
      </c>
      <c r="AU41" s="138">
        <v>200</v>
      </c>
      <c r="AV41" s="138">
        <v>0</v>
      </c>
      <c r="AW41" s="138">
        <v>0</v>
      </c>
      <c r="AX41" s="138">
        <v>0</v>
      </c>
      <c r="AY41" s="138">
        <v>108</v>
      </c>
      <c r="AZ41" s="139">
        <v>25920</v>
      </c>
      <c r="BA41" s="138">
        <v>0</v>
      </c>
      <c r="BB41" s="138">
        <v>0</v>
      </c>
      <c r="BC41" s="138">
        <v>0</v>
      </c>
      <c r="BD41" s="138">
        <v>0</v>
      </c>
      <c r="BE41" s="138">
        <v>0</v>
      </c>
      <c r="BF41" s="138">
        <v>0</v>
      </c>
      <c r="BG41" s="138">
        <v>0</v>
      </c>
      <c r="BH41" s="138">
        <v>0</v>
      </c>
      <c r="BI41" s="138">
        <v>0</v>
      </c>
      <c r="BJ41" s="138">
        <v>0</v>
      </c>
      <c r="BK41" s="138">
        <v>33</v>
      </c>
      <c r="BL41" s="139">
        <v>6500</v>
      </c>
      <c r="BM41" s="138">
        <v>0</v>
      </c>
      <c r="BN41" s="138">
        <v>0</v>
      </c>
      <c r="BO41" s="138">
        <v>0</v>
      </c>
      <c r="BP41" s="138">
        <v>0</v>
      </c>
      <c r="BQ41" s="138">
        <v>0</v>
      </c>
      <c r="BR41" s="140">
        <v>45557.4</v>
      </c>
      <c r="BS41" s="141">
        <v>410236</v>
      </c>
      <c r="BT41" s="52">
        <f t="shared" si="3"/>
        <v>78100</v>
      </c>
      <c r="BU41" s="44">
        <f t="shared" si="4"/>
        <v>103750</v>
      </c>
      <c r="BV41" s="44">
        <f t="shared" si="5"/>
        <v>87816</v>
      </c>
      <c r="BW41" s="44">
        <f t="shared" si="6"/>
        <v>25920</v>
      </c>
      <c r="BX41" s="44">
        <f t="shared" si="7"/>
        <v>0</v>
      </c>
      <c r="BY41" s="44">
        <f t="shared" si="8"/>
        <v>6500</v>
      </c>
      <c r="BZ41" s="52">
        <f t="shared" si="9"/>
        <v>108150</v>
      </c>
      <c r="CA41" s="52">
        <f t="shared" si="1"/>
        <v>364678.6</v>
      </c>
      <c r="CB41" s="52">
        <f t="shared" si="10"/>
        <v>218807</v>
      </c>
      <c r="CC41" s="59"/>
      <c r="CD41" s="53">
        <f t="shared" si="11"/>
        <v>218807</v>
      </c>
      <c r="CE41" s="10" t="str">
        <f t="shared" si="12"/>
        <v>욕망일기Deep</v>
      </c>
      <c r="CF41" s="60" t="str">
        <f t="shared" si="13"/>
        <v>욕망일기Deep</v>
      </c>
      <c r="CG41" s="60" t="b">
        <f t="shared" si="14"/>
        <v>1</v>
      </c>
      <c r="CH41" s="63" t="str">
        <f t="shared" si="15"/>
        <v>욕망일기Deep</v>
      </c>
      <c r="CI41" s="64">
        <f t="shared" si="17"/>
        <v>218807</v>
      </c>
      <c r="CJ41" s="63" t="s">
        <v>348</v>
      </c>
      <c r="CK41" s="71">
        <f>SUMIFS('컨텐츠별 매출 통계'!CV:CV,'컨텐츠별 매출 통계'!A:A,'작품별 집계'!A41,'컨텐츠별 매출 통계'!CF:CF,"2026-01")</f>
        <v>218807</v>
      </c>
      <c r="CL41" s="70">
        <f t="shared" si="16"/>
        <v>0</v>
      </c>
    </row>
    <row r="42" spans="1:90">
      <c r="A42" s="68" t="s">
        <v>137</v>
      </c>
      <c r="B42" s="68">
        <v>547174</v>
      </c>
      <c r="C42" s="137"/>
      <c r="D42" s="68" t="s">
        <v>385</v>
      </c>
      <c r="E42" s="68" t="s">
        <v>191</v>
      </c>
      <c r="F42" s="68" t="s">
        <v>165</v>
      </c>
      <c r="G42" s="138" t="s">
        <v>166</v>
      </c>
      <c r="H42" s="138" t="s">
        <v>323</v>
      </c>
      <c r="I42" s="138">
        <v>0</v>
      </c>
      <c r="J42" s="139">
        <v>2765</v>
      </c>
      <c r="K42" s="138">
        <v>0</v>
      </c>
      <c r="L42" s="138">
        <v>0</v>
      </c>
      <c r="M42" s="138">
        <v>0</v>
      </c>
      <c r="N42" s="138">
        <v>0</v>
      </c>
      <c r="O42" s="138">
        <v>0</v>
      </c>
      <c r="P42" s="138">
        <v>0</v>
      </c>
      <c r="Q42" s="138">
        <v>0</v>
      </c>
      <c r="R42" s="138">
        <v>0</v>
      </c>
      <c r="S42" s="138">
        <v>0</v>
      </c>
      <c r="T42" s="138">
        <v>0</v>
      </c>
      <c r="U42" s="138">
        <v>0</v>
      </c>
      <c r="V42" s="138">
        <v>0</v>
      </c>
      <c r="W42" s="138">
        <v>0</v>
      </c>
      <c r="X42" s="138">
        <v>0</v>
      </c>
      <c r="Y42" s="138">
        <v>0</v>
      </c>
      <c r="Z42" s="138">
        <v>0</v>
      </c>
      <c r="AA42" s="138">
        <v>262</v>
      </c>
      <c r="AB42" s="139">
        <v>49600</v>
      </c>
      <c r="AC42" s="139">
        <v>25825</v>
      </c>
      <c r="AD42" s="138">
        <v>5</v>
      </c>
      <c r="AE42" s="138">
        <v>0</v>
      </c>
      <c r="AF42" s="139">
        <v>2000</v>
      </c>
      <c r="AG42" s="138">
        <v>193</v>
      </c>
      <c r="AH42" s="139">
        <v>47280</v>
      </c>
      <c r="AI42" s="139">
        <v>18100</v>
      </c>
      <c r="AJ42" s="138">
        <v>0</v>
      </c>
      <c r="AK42" s="138">
        <v>0</v>
      </c>
      <c r="AL42" s="138">
        <v>0</v>
      </c>
      <c r="AM42" s="138">
        <v>75</v>
      </c>
      <c r="AN42" s="139">
        <v>21900</v>
      </c>
      <c r="AO42" s="138">
        <v>600</v>
      </c>
      <c r="AP42" s="138">
        <v>0</v>
      </c>
      <c r="AQ42" s="138">
        <v>0</v>
      </c>
      <c r="AR42" s="138">
        <v>0</v>
      </c>
      <c r="AS42" s="138">
        <v>136</v>
      </c>
      <c r="AT42" s="139">
        <v>48720</v>
      </c>
      <c r="AU42" s="138">
        <v>0</v>
      </c>
      <c r="AV42" s="138">
        <v>0</v>
      </c>
      <c r="AW42" s="138">
        <v>0</v>
      </c>
      <c r="AX42" s="138">
        <v>0</v>
      </c>
      <c r="AY42" s="138">
        <v>323</v>
      </c>
      <c r="AZ42" s="139">
        <v>116040</v>
      </c>
      <c r="BA42" s="138">
        <v>0</v>
      </c>
      <c r="BB42" s="138">
        <v>0</v>
      </c>
      <c r="BC42" s="138">
        <v>0</v>
      </c>
      <c r="BD42" s="138">
        <v>0</v>
      </c>
      <c r="BE42" s="138">
        <v>0</v>
      </c>
      <c r="BF42" s="138">
        <v>0</v>
      </c>
      <c r="BG42" s="138">
        <v>0</v>
      </c>
      <c r="BH42" s="138">
        <v>0</v>
      </c>
      <c r="BI42" s="138">
        <v>0</v>
      </c>
      <c r="BJ42" s="138">
        <v>0</v>
      </c>
      <c r="BK42" s="138">
        <v>0</v>
      </c>
      <c r="BL42" s="138">
        <v>0</v>
      </c>
      <c r="BM42" s="138">
        <v>0</v>
      </c>
      <c r="BN42" s="138">
        <v>0</v>
      </c>
      <c r="BO42" s="138">
        <v>0</v>
      </c>
      <c r="BP42" s="138">
        <v>0</v>
      </c>
      <c r="BQ42" s="138">
        <v>0</v>
      </c>
      <c r="BR42" s="140">
        <v>31644.6</v>
      </c>
      <c r="BS42" s="141">
        <v>330065</v>
      </c>
      <c r="BT42" s="52">
        <f t="shared" si="3"/>
        <v>71500</v>
      </c>
      <c r="BU42" s="44">
        <f t="shared" si="4"/>
        <v>47280</v>
      </c>
      <c r="BV42" s="44">
        <f t="shared" si="5"/>
        <v>48720</v>
      </c>
      <c r="BW42" s="44">
        <f t="shared" si="6"/>
        <v>116040</v>
      </c>
      <c r="BX42" s="44">
        <f t="shared" si="7"/>
        <v>0</v>
      </c>
      <c r="BY42" s="44">
        <f t="shared" si="8"/>
        <v>0</v>
      </c>
      <c r="BZ42" s="52">
        <f t="shared" si="9"/>
        <v>46525</v>
      </c>
      <c r="CA42" s="52">
        <f t="shared" si="1"/>
        <v>298420.40000000002</v>
      </c>
      <c r="CB42" s="52">
        <f t="shared" si="10"/>
        <v>179052</v>
      </c>
      <c r="CC42" s="59"/>
      <c r="CD42" s="53">
        <f t="shared" si="11"/>
        <v>179052</v>
      </c>
      <c r="CE42" s="10" t="str">
        <f t="shared" si="12"/>
        <v>VS</v>
      </c>
      <c r="CF42" s="60" t="str">
        <f t="shared" si="13"/>
        <v>VS</v>
      </c>
      <c r="CG42" s="60" t="b">
        <f t="shared" si="14"/>
        <v>1</v>
      </c>
      <c r="CH42" s="63" t="str">
        <f t="shared" si="15"/>
        <v>VS</v>
      </c>
      <c r="CI42" s="64">
        <f t="shared" si="17"/>
        <v>179052</v>
      </c>
      <c r="CJ42" s="63" t="s">
        <v>348</v>
      </c>
      <c r="CK42" s="71">
        <f>SUMIFS('컨텐츠별 매출 통계'!CV:CV,'컨텐츠별 매출 통계'!A:A,'작품별 집계'!A42,'컨텐츠별 매출 통계'!CF:CF,"2026-01")</f>
        <v>179052</v>
      </c>
      <c r="CL42" s="70">
        <f t="shared" si="16"/>
        <v>0</v>
      </c>
    </row>
    <row r="43" spans="1:90">
      <c r="A43" s="68" t="s">
        <v>147</v>
      </c>
      <c r="B43" s="68">
        <v>577238</v>
      </c>
      <c r="C43" s="137"/>
      <c r="D43" s="68" t="s">
        <v>385</v>
      </c>
      <c r="E43" s="68" t="s">
        <v>169</v>
      </c>
      <c r="F43" s="68" t="s">
        <v>169</v>
      </c>
      <c r="G43" s="138" t="s">
        <v>166</v>
      </c>
      <c r="H43" s="138" t="s">
        <v>167</v>
      </c>
      <c r="I43" s="138">
        <v>0</v>
      </c>
      <c r="J43" s="139">
        <v>3686</v>
      </c>
      <c r="K43" s="138">
        <v>0</v>
      </c>
      <c r="L43" s="138">
        <v>0</v>
      </c>
      <c r="M43" s="138">
        <v>0</v>
      </c>
      <c r="N43" s="138">
        <v>0</v>
      </c>
      <c r="O43" s="138">
        <v>0</v>
      </c>
      <c r="P43" s="138">
        <v>0</v>
      </c>
      <c r="Q43" s="138">
        <v>0</v>
      </c>
      <c r="R43" s="138">
        <v>0</v>
      </c>
      <c r="S43" s="138">
        <v>0</v>
      </c>
      <c r="T43" s="138">
        <v>0</v>
      </c>
      <c r="U43" s="138">
        <v>0</v>
      </c>
      <c r="V43" s="138">
        <v>0</v>
      </c>
      <c r="W43" s="138">
        <v>0</v>
      </c>
      <c r="X43" s="138">
        <v>0</v>
      </c>
      <c r="Y43" s="138">
        <v>0</v>
      </c>
      <c r="Z43" s="138">
        <v>0</v>
      </c>
      <c r="AA43" s="138">
        <v>207</v>
      </c>
      <c r="AB43" s="139">
        <v>23700</v>
      </c>
      <c r="AC43" s="139">
        <v>37205</v>
      </c>
      <c r="AD43" s="138">
        <v>5</v>
      </c>
      <c r="AE43" s="139">
        <v>3500</v>
      </c>
      <c r="AF43" s="138">
        <v>0</v>
      </c>
      <c r="AG43" s="138">
        <v>152</v>
      </c>
      <c r="AH43" s="139">
        <v>42156</v>
      </c>
      <c r="AI43" s="139">
        <v>10400</v>
      </c>
      <c r="AJ43" s="138">
        <v>0</v>
      </c>
      <c r="AK43" s="138">
        <v>0</v>
      </c>
      <c r="AL43" s="138">
        <v>0</v>
      </c>
      <c r="AM43" s="138">
        <v>141</v>
      </c>
      <c r="AN43" s="139">
        <v>41900</v>
      </c>
      <c r="AO43" s="138">
        <v>200</v>
      </c>
      <c r="AP43" s="138">
        <v>1</v>
      </c>
      <c r="AQ43" s="138">
        <v>500</v>
      </c>
      <c r="AR43" s="138">
        <v>0</v>
      </c>
      <c r="AS43" s="138">
        <v>55</v>
      </c>
      <c r="AT43" s="139">
        <v>19476</v>
      </c>
      <c r="AU43" s="138">
        <v>0</v>
      </c>
      <c r="AV43" s="138">
        <v>0</v>
      </c>
      <c r="AW43" s="138">
        <v>0</v>
      </c>
      <c r="AX43" s="138">
        <v>0</v>
      </c>
      <c r="AY43" s="138">
        <v>163</v>
      </c>
      <c r="AZ43" s="139">
        <v>58560</v>
      </c>
      <c r="BA43" s="138">
        <v>0</v>
      </c>
      <c r="BB43" s="138">
        <v>0</v>
      </c>
      <c r="BC43" s="138">
        <v>0</v>
      </c>
      <c r="BD43" s="138">
        <v>0</v>
      </c>
      <c r="BE43" s="138">
        <v>1</v>
      </c>
      <c r="BF43" s="138">
        <v>360</v>
      </c>
      <c r="BG43" s="138">
        <v>0</v>
      </c>
      <c r="BH43" s="138">
        <v>1</v>
      </c>
      <c r="BI43" s="138">
        <v>600</v>
      </c>
      <c r="BJ43" s="138">
        <v>0</v>
      </c>
      <c r="BK43" s="138">
        <v>0</v>
      </c>
      <c r="BL43" s="138">
        <v>0</v>
      </c>
      <c r="BM43" s="138">
        <v>0</v>
      </c>
      <c r="BN43" s="138">
        <v>0</v>
      </c>
      <c r="BO43" s="138">
        <v>0</v>
      </c>
      <c r="BP43" s="138">
        <v>0</v>
      </c>
      <c r="BQ43" s="138">
        <v>0</v>
      </c>
      <c r="BR43" s="140">
        <v>22029.599999999999</v>
      </c>
      <c r="BS43" s="141">
        <v>238557</v>
      </c>
      <c r="BT43" s="52">
        <f t="shared" si="3"/>
        <v>69600</v>
      </c>
      <c r="BU43" s="44">
        <f t="shared" si="4"/>
        <v>42156</v>
      </c>
      <c r="BV43" s="44">
        <f t="shared" si="5"/>
        <v>19476</v>
      </c>
      <c r="BW43" s="44">
        <f t="shared" si="6"/>
        <v>58560</v>
      </c>
      <c r="BX43" s="44">
        <f t="shared" si="7"/>
        <v>960</v>
      </c>
      <c r="BY43" s="44">
        <f t="shared" si="8"/>
        <v>0</v>
      </c>
      <c r="BZ43" s="52">
        <f t="shared" si="9"/>
        <v>47805</v>
      </c>
      <c r="CA43" s="52">
        <f t="shared" si="1"/>
        <v>216527.4</v>
      </c>
      <c r="CB43" s="52">
        <f t="shared" si="10"/>
        <v>129916</v>
      </c>
      <c r="CC43" s="59"/>
      <c r="CD43" s="53">
        <f t="shared" si="11"/>
        <v>129916</v>
      </c>
      <c r="CE43" s="10" t="str">
        <f t="shared" si="12"/>
        <v>왕관을 찾아줘</v>
      </c>
      <c r="CF43" s="60" t="str">
        <f t="shared" si="13"/>
        <v>왕관을찾아줘</v>
      </c>
      <c r="CG43" s="60" t="b">
        <f t="shared" si="14"/>
        <v>0</v>
      </c>
      <c r="CH43" s="63" t="str">
        <f t="shared" si="15"/>
        <v>왕관을찾아줘</v>
      </c>
      <c r="CI43" s="64">
        <f t="shared" si="17"/>
        <v>129916</v>
      </c>
      <c r="CJ43" s="63" t="s">
        <v>348</v>
      </c>
      <c r="CK43" s="71">
        <f>SUMIFS('컨텐츠별 매출 통계'!CV:CV,'컨텐츠별 매출 통계'!A:A,'작품별 집계'!A43,'컨텐츠별 매출 통계'!CF:CF,"2026-01")</f>
        <v>129916</v>
      </c>
      <c r="CL43" s="70">
        <f t="shared" si="16"/>
        <v>0</v>
      </c>
    </row>
    <row r="44" spans="1:90">
      <c r="A44" s="68" t="s">
        <v>119</v>
      </c>
      <c r="B44" s="68">
        <v>481008</v>
      </c>
      <c r="C44" s="137"/>
      <c r="D44" s="68" t="s">
        <v>385</v>
      </c>
      <c r="E44" s="68" t="s">
        <v>211</v>
      </c>
      <c r="F44" s="68" t="s">
        <v>212</v>
      </c>
      <c r="G44" s="138" t="s">
        <v>166</v>
      </c>
      <c r="H44" s="138" t="s">
        <v>213</v>
      </c>
      <c r="I44" s="138">
        <v>0</v>
      </c>
      <c r="J44" s="139">
        <v>2741</v>
      </c>
      <c r="K44" s="138">
        <v>0</v>
      </c>
      <c r="L44" s="138">
        <v>0</v>
      </c>
      <c r="M44" s="138">
        <v>0</v>
      </c>
      <c r="N44" s="138">
        <v>0</v>
      </c>
      <c r="O44" s="138">
        <v>0</v>
      </c>
      <c r="P44" s="138">
        <v>0</v>
      </c>
      <c r="Q44" s="138">
        <v>0</v>
      </c>
      <c r="R44" s="138">
        <v>0</v>
      </c>
      <c r="S44" s="138">
        <v>0</v>
      </c>
      <c r="T44" s="138">
        <v>0</v>
      </c>
      <c r="U44" s="138">
        <v>0</v>
      </c>
      <c r="V44" s="138">
        <v>0</v>
      </c>
      <c r="W44" s="138">
        <v>0</v>
      </c>
      <c r="X44" s="138">
        <v>0</v>
      </c>
      <c r="Y44" s="138">
        <v>0</v>
      </c>
      <c r="Z44" s="138">
        <v>0</v>
      </c>
      <c r="AA44" s="138">
        <v>93</v>
      </c>
      <c r="AB44" s="139">
        <v>10500</v>
      </c>
      <c r="AC44" s="139">
        <v>16680</v>
      </c>
      <c r="AD44" s="138">
        <v>0</v>
      </c>
      <c r="AE44" s="138">
        <v>0</v>
      </c>
      <c r="AF44" s="138">
        <v>0</v>
      </c>
      <c r="AG44" s="138">
        <v>89</v>
      </c>
      <c r="AH44" s="139">
        <v>32040</v>
      </c>
      <c r="AI44" s="138">
        <v>0</v>
      </c>
      <c r="AJ44" s="138">
        <v>0</v>
      </c>
      <c r="AK44" s="138">
        <v>0</v>
      </c>
      <c r="AL44" s="138">
        <v>0</v>
      </c>
      <c r="AM44" s="138">
        <v>48</v>
      </c>
      <c r="AN44" s="139">
        <v>14200</v>
      </c>
      <c r="AO44" s="138">
        <v>200</v>
      </c>
      <c r="AP44" s="138">
        <v>0</v>
      </c>
      <c r="AQ44" s="138">
        <v>0</v>
      </c>
      <c r="AR44" s="138">
        <v>0</v>
      </c>
      <c r="AS44" s="138">
        <v>219</v>
      </c>
      <c r="AT44" s="139">
        <v>78879</v>
      </c>
      <c r="AU44" s="138">
        <v>0</v>
      </c>
      <c r="AV44" s="138">
        <v>0</v>
      </c>
      <c r="AW44" s="138">
        <v>0</v>
      </c>
      <c r="AX44" s="138">
        <v>0</v>
      </c>
      <c r="AY44" s="138">
        <v>107</v>
      </c>
      <c r="AZ44" s="139">
        <v>38520</v>
      </c>
      <c r="BA44" s="138">
        <v>0</v>
      </c>
      <c r="BB44" s="138">
        <v>0</v>
      </c>
      <c r="BC44" s="138">
        <v>0</v>
      </c>
      <c r="BD44" s="138">
        <v>0</v>
      </c>
      <c r="BE44" s="138">
        <v>0</v>
      </c>
      <c r="BF44" s="138">
        <v>0</v>
      </c>
      <c r="BG44" s="138">
        <v>0</v>
      </c>
      <c r="BH44" s="138">
        <v>0</v>
      </c>
      <c r="BI44" s="138">
        <v>0</v>
      </c>
      <c r="BJ44" s="138">
        <v>0</v>
      </c>
      <c r="BK44" s="138">
        <v>0</v>
      </c>
      <c r="BL44" s="138">
        <v>0</v>
      </c>
      <c r="BM44" s="138">
        <v>0</v>
      </c>
      <c r="BN44" s="138">
        <v>0</v>
      </c>
      <c r="BO44" s="138">
        <v>0</v>
      </c>
      <c r="BP44" s="138">
        <v>0</v>
      </c>
      <c r="BQ44" s="138">
        <v>0</v>
      </c>
      <c r="BR44" s="140">
        <v>21707.7</v>
      </c>
      <c r="BS44" s="141">
        <v>191019</v>
      </c>
      <c r="BT44" s="52">
        <f t="shared" si="3"/>
        <v>24700</v>
      </c>
      <c r="BU44" s="44">
        <f t="shared" si="4"/>
        <v>32040</v>
      </c>
      <c r="BV44" s="44">
        <f t="shared" si="5"/>
        <v>78879</v>
      </c>
      <c r="BW44" s="44">
        <f t="shared" si="6"/>
        <v>38520</v>
      </c>
      <c r="BX44" s="44">
        <f t="shared" si="7"/>
        <v>0</v>
      </c>
      <c r="BY44" s="44">
        <f t="shared" si="8"/>
        <v>0</v>
      </c>
      <c r="BZ44" s="52">
        <f t="shared" si="9"/>
        <v>16880</v>
      </c>
      <c r="CA44" s="52">
        <f t="shared" si="1"/>
        <v>169311.3</v>
      </c>
      <c r="CB44" s="52">
        <f t="shared" si="10"/>
        <v>101587</v>
      </c>
      <c r="CC44" s="59"/>
      <c r="CD44" s="53">
        <f t="shared" si="11"/>
        <v>101587</v>
      </c>
      <c r="CE44" s="10" t="str">
        <f t="shared" si="12"/>
        <v>간첩 18세</v>
      </c>
      <c r="CF44" s="60" t="str">
        <f t="shared" si="13"/>
        <v>간첩18세</v>
      </c>
      <c r="CG44" s="60" t="b">
        <f t="shared" si="14"/>
        <v>0</v>
      </c>
      <c r="CH44" s="63" t="str">
        <f t="shared" si="15"/>
        <v>간첩18세</v>
      </c>
      <c r="CI44" s="64">
        <f t="shared" si="17"/>
        <v>101587</v>
      </c>
      <c r="CJ44" s="63" t="s">
        <v>348</v>
      </c>
      <c r="CK44" s="71">
        <f>SUMIFS('컨텐츠별 매출 통계'!CV:CV,'컨텐츠별 매출 통계'!A:A,'작품별 집계'!A44,'컨텐츠별 매출 통계'!CF:CF,"2026-01")</f>
        <v>101587</v>
      </c>
      <c r="CL44" s="70">
        <f t="shared" si="16"/>
        <v>0</v>
      </c>
    </row>
    <row r="45" spans="1:90">
      <c r="A45" s="68" t="s">
        <v>145</v>
      </c>
      <c r="B45" s="68">
        <v>575418</v>
      </c>
      <c r="C45" s="137"/>
      <c r="D45" s="68" t="s">
        <v>385</v>
      </c>
      <c r="E45" s="68" t="s">
        <v>197</v>
      </c>
      <c r="F45" s="68" t="s">
        <v>197</v>
      </c>
      <c r="G45" s="138" t="s">
        <v>96</v>
      </c>
      <c r="H45" s="138" t="s">
        <v>198</v>
      </c>
      <c r="I45" s="138">
        <v>0</v>
      </c>
      <c r="J45" s="139">
        <v>4986</v>
      </c>
      <c r="K45" s="138">
        <v>0</v>
      </c>
      <c r="L45" s="138">
        <v>0</v>
      </c>
      <c r="M45" s="138">
        <v>0</v>
      </c>
      <c r="N45" s="138">
        <v>0</v>
      </c>
      <c r="O45" s="138">
        <v>0</v>
      </c>
      <c r="P45" s="138">
        <v>0</v>
      </c>
      <c r="Q45" s="138">
        <v>0</v>
      </c>
      <c r="R45" s="138">
        <v>0</v>
      </c>
      <c r="S45" s="138">
        <v>0</v>
      </c>
      <c r="T45" s="138">
        <v>0</v>
      </c>
      <c r="U45" s="138">
        <v>0</v>
      </c>
      <c r="V45" s="138">
        <v>0</v>
      </c>
      <c r="W45" s="138">
        <v>0</v>
      </c>
      <c r="X45" s="138">
        <v>0</v>
      </c>
      <c r="Y45" s="138">
        <v>0</v>
      </c>
      <c r="Z45" s="138">
        <v>0</v>
      </c>
      <c r="AA45" s="138">
        <v>92</v>
      </c>
      <c r="AB45" s="139">
        <v>5400</v>
      </c>
      <c r="AC45" s="139">
        <v>12575</v>
      </c>
      <c r="AD45" s="138">
        <v>0</v>
      </c>
      <c r="AE45" s="138">
        <v>0</v>
      </c>
      <c r="AF45" s="138">
        <v>0</v>
      </c>
      <c r="AG45" s="138">
        <v>307</v>
      </c>
      <c r="AH45" s="139">
        <v>71160</v>
      </c>
      <c r="AI45" s="139">
        <v>1900</v>
      </c>
      <c r="AJ45" s="138">
        <v>0</v>
      </c>
      <c r="AK45" s="138">
        <v>0</v>
      </c>
      <c r="AL45" s="138">
        <v>0</v>
      </c>
      <c r="AM45" s="138">
        <v>42</v>
      </c>
      <c r="AN45" s="139">
        <v>8400</v>
      </c>
      <c r="AO45" s="138">
        <v>0</v>
      </c>
      <c r="AP45" s="138">
        <v>0</v>
      </c>
      <c r="AQ45" s="138">
        <v>0</v>
      </c>
      <c r="AR45" s="138">
        <v>0</v>
      </c>
      <c r="AS45" s="138">
        <v>150</v>
      </c>
      <c r="AT45" s="139">
        <v>36000</v>
      </c>
      <c r="AU45" s="138">
        <v>0</v>
      </c>
      <c r="AV45" s="138">
        <v>0</v>
      </c>
      <c r="AW45" s="138">
        <v>0</v>
      </c>
      <c r="AX45" s="138">
        <v>0</v>
      </c>
      <c r="AY45" s="138">
        <v>2</v>
      </c>
      <c r="AZ45" s="138">
        <v>480</v>
      </c>
      <c r="BA45" s="138">
        <v>0</v>
      </c>
      <c r="BB45" s="138">
        <v>0</v>
      </c>
      <c r="BC45" s="138">
        <v>0</v>
      </c>
      <c r="BD45" s="138">
        <v>0</v>
      </c>
      <c r="BE45" s="138">
        <v>0</v>
      </c>
      <c r="BF45" s="138">
        <v>0</v>
      </c>
      <c r="BG45" s="138">
        <v>0</v>
      </c>
      <c r="BH45" s="138">
        <v>0</v>
      </c>
      <c r="BI45" s="138">
        <v>0</v>
      </c>
      <c r="BJ45" s="138">
        <v>0</v>
      </c>
      <c r="BK45" s="138">
        <v>0</v>
      </c>
      <c r="BL45" s="138">
        <v>0</v>
      </c>
      <c r="BM45" s="138">
        <v>0</v>
      </c>
      <c r="BN45" s="138">
        <v>0</v>
      </c>
      <c r="BO45" s="138">
        <v>0</v>
      </c>
      <c r="BP45" s="138">
        <v>0</v>
      </c>
      <c r="BQ45" s="138">
        <v>0</v>
      </c>
      <c r="BR45" s="140">
        <v>25405.200000000001</v>
      </c>
      <c r="BS45" s="141">
        <v>135915</v>
      </c>
      <c r="BT45" s="52">
        <f t="shared" si="3"/>
        <v>13800</v>
      </c>
      <c r="BU45" s="44">
        <f t="shared" si="4"/>
        <v>71160</v>
      </c>
      <c r="BV45" s="44">
        <f t="shared" si="5"/>
        <v>36000</v>
      </c>
      <c r="BW45" s="44">
        <f t="shared" si="6"/>
        <v>480</v>
      </c>
      <c r="BX45" s="44">
        <f t="shared" si="7"/>
        <v>0</v>
      </c>
      <c r="BY45" s="44">
        <f t="shared" si="8"/>
        <v>0</v>
      </c>
      <c r="BZ45" s="52">
        <f t="shared" si="9"/>
        <v>14475</v>
      </c>
      <c r="CA45" s="52">
        <f t="shared" si="1"/>
        <v>110509.8</v>
      </c>
      <c r="CB45" s="52">
        <f t="shared" si="10"/>
        <v>66306</v>
      </c>
      <c r="CC45" s="59"/>
      <c r="CD45" s="53">
        <f t="shared" si="11"/>
        <v>66306</v>
      </c>
      <c r="CE45" s="10" t="str">
        <f t="shared" si="12"/>
        <v>러브 인 바디</v>
      </c>
      <c r="CF45" s="60" t="str">
        <f t="shared" si="13"/>
        <v>러브인바디</v>
      </c>
      <c r="CG45" s="60" t="b">
        <f t="shared" si="14"/>
        <v>0</v>
      </c>
      <c r="CH45" s="63" t="str">
        <f t="shared" si="15"/>
        <v>러브인바디</v>
      </c>
      <c r="CI45" s="64">
        <f t="shared" si="17"/>
        <v>66306</v>
      </c>
      <c r="CJ45" s="63" t="s">
        <v>348</v>
      </c>
      <c r="CK45" s="71">
        <f>SUMIFS('컨텐츠별 매출 통계'!CV:CV,'컨텐츠별 매출 통계'!A:A,'작품별 집계'!A45,'컨텐츠별 매출 통계'!CF:CF,"2026-01")</f>
        <v>66306</v>
      </c>
      <c r="CL45" s="70">
        <f t="shared" si="16"/>
        <v>0</v>
      </c>
    </row>
    <row r="46" spans="1:90">
      <c r="A46" s="68" t="s">
        <v>105</v>
      </c>
      <c r="B46" s="68">
        <v>420618</v>
      </c>
      <c r="C46" s="137"/>
      <c r="D46" s="68" t="s">
        <v>385</v>
      </c>
      <c r="E46" s="68" t="s">
        <v>214</v>
      </c>
      <c r="F46" s="68" t="s">
        <v>214</v>
      </c>
      <c r="G46" s="138" t="s">
        <v>166</v>
      </c>
      <c r="H46" s="138" t="s">
        <v>215</v>
      </c>
      <c r="I46" s="138">
        <v>0</v>
      </c>
      <c r="J46" s="139">
        <v>5012</v>
      </c>
      <c r="K46" s="138">
        <v>0</v>
      </c>
      <c r="L46" s="138">
        <v>0</v>
      </c>
      <c r="M46" s="138">
        <v>0</v>
      </c>
      <c r="N46" s="138">
        <v>0</v>
      </c>
      <c r="O46" s="138">
        <v>0</v>
      </c>
      <c r="P46" s="138">
        <v>0</v>
      </c>
      <c r="Q46" s="138">
        <v>0</v>
      </c>
      <c r="R46" s="138">
        <v>0</v>
      </c>
      <c r="S46" s="138">
        <v>0</v>
      </c>
      <c r="T46" s="138">
        <v>0</v>
      </c>
      <c r="U46" s="138">
        <v>0</v>
      </c>
      <c r="V46" s="138">
        <v>0</v>
      </c>
      <c r="W46" s="138">
        <v>0</v>
      </c>
      <c r="X46" s="138">
        <v>0</v>
      </c>
      <c r="Y46" s="138">
        <v>0</v>
      </c>
      <c r="Z46" s="138">
        <v>0</v>
      </c>
      <c r="AA46" s="138">
        <v>138</v>
      </c>
      <c r="AB46" s="139">
        <v>20200</v>
      </c>
      <c r="AC46" s="139">
        <v>17440</v>
      </c>
      <c r="AD46" s="138">
        <v>0</v>
      </c>
      <c r="AE46" s="138">
        <v>0</v>
      </c>
      <c r="AF46" s="138">
        <v>0</v>
      </c>
      <c r="AG46" s="138">
        <v>60</v>
      </c>
      <c r="AH46" s="139">
        <v>27720</v>
      </c>
      <c r="AI46" s="139">
        <v>3000</v>
      </c>
      <c r="AJ46" s="138">
        <v>0</v>
      </c>
      <c r="AK46" s="138">
        <v>0</v>
      </c>
      <c r="AL46" s="138">
        <v>0</v>
      </c>
      <c r="AM46" s="138">
        <v>3</v>
      </c>
      <c r="AN46" s="139">
        <v>3500</v>
      </c>
      <c r="AO46" s="138">
        <v>0</v>
      </c>
      <c r="AP46" s="138">
        <v>0</v>
      </c>
      <c r="AQ46" s="138">
        <v>0</v>
      </c>
      <c r="AR46" s="138">
        <v>0</v>
      </c>
      <c r="AS46" s="138">
        <v>62</v>
      </c>
      <c r="AT46" s="139">
        <v>16400</v>
      </c>
      <c r="AU46" s="138">
        <v>200</v>
      </c>
      <c r="AV46" s="138">
        <v>0</v>
      </c>
      <c r="AW46" s="138">
        <v>0</v>
      </c>
      <c r="AX46" s="138">
        <v>0</v>
      </c>
      <c r="AY46" s="138">
        <v>69</v>
      </c>
      <c r="AZ46" s="139">
        <v>24240</v>
      </c>
      <c r="BA46" s="138">
        <v>0</v>
      </c>
      <c r="BB46" s="138">
        <v>1</v>
      </c>
      <c r="BC46" s="138">
        <v>480</v>
      </c>
      <c r="BD46" s="138">
        <v>0</v>
      </c>
      <c r="BE46" s="138">
        <v>0</v>
      </c>
      <c r="BF46" s="138">
        <v>0</v>
      </c>
      <c r="BG46" s="138">
        <v>0</v>
      </c>
      <c r="BH46" s="138">
        <v>0</v>
      </c>
      <c r="BI46" s="138">
        <v>0</v>
      </c>
      <c r="BJ46" s="138">
        <v>0</v>
      </c>
      <c r="BK46" s="138">
        <v>0</v>
      </c>
      <c r="BL46" s="138">
        <v>0</v>
      </c>
      <c r="BM46" s="138">
        <v>0</v>
      </c>
      <c r="BN46" s="138">
        <v>0</v>
      </c>
      <c r="BO46" s="138">
        <v>0</v>
      </c>
      <c r="BP46" s="138">
        <v>0</v>
      </c>
      <c r="BQ46" s="138">
        <v>0</v>
      </c>
      <c r="BR46" s="140">
        <v>12891.8</v>
      </c>
      <c r="BS46" s="141">
        <v>113180</v>
      </c>
      <c r="BT46" s="52">
        <f t="shared" si="3"/>
        <v>23700</v>
      </c>
      <c r="BU46" s="44">
        <f t="shared" si="4"/>
        <v>27720</v>
      </c>
      <c r="BV46" s="44">
        <f t="shared" si="5"/>
        <v>16400</v>
      </c>
      <c r="BW46" s="44">
        <f t="shared" si="6"/>
        <v>24720</v>
      </c>
      <c r="BX46" s="44">
        <f t="shared" si="7"/>
        <v>0</v>
      </c>
      <c r="BY46" s="44">
        <f t="shared" si="8"/>
        <v>0</v>
      </c>
      <c r="BZ46" s="52">
        <f t="shared" si="9"/>
        <v>20640</v>
      </c>
      <c r="CA46" s="52">
        <f t="shared" si="1"/>
        <v>100288.2</v>
      </c>
      <c r="CB46" s="52">
        <f t="shared" si="10"/>
        <v>60173</v>
      </c>
      <c r="CC46" s="59"/>
      <c r="CD46" s="53">
        <f t="shared" si="11"/>
        <v>60173</v>
      </c>
      <c r="CE46" s="10" t="str">
        <f t="shared" si="12"/>
        <v>욕망일기</v>
      </c>
      <c r="CF46" s="60" t="str">
        <f t="shared" si="13"/>
        <v>욕망일기</v>
      </c>
      <c r="CG46" s="60" t="b">
        <f t="shared" si="14"/>
        <v>1</v>
      </c>
      <c r="CH46" s="63" t="str">
        <f t="shared" si="15"/>
        <v>욕망일기</v>
      </c>
      <c r="CI46" s="64">
        <f t="shared" si="17"/>
        <v>60173</v>
      </c>
      <c r="CJ46" s="63" t="s">
        <v>348</v>
      </c>
      <c r="CK46" s="71">
        <f>SUMIFS('컨텐츠별 매출 통계'!CV:CV,'컨텐츠별 매출 통계'!A:A,'작품별 집계'!A46,'컨텐츠별 매출 통계'!CF:CF,"2026-01")</f>
        <v>60173</v>
      </c>
      <c r="CL46" s="70">
        <f t="shared" si="16"/>
        <v>0</v>
      </c>
    </row>
    <row r="47" spans="1:90">
      <c r="A47" s="68" t="s">
        <v>117</v>
      </c>
      <c r="B47" s="68">
        <v>461378</v>
      </c>
      <c r="C47" s="137"/>
      <c r="D47" s="68" t="s">
        <v>385</v>
      </c>
      <c r="E47" s="68" t="s">
        <v>220</v>
      </c>
      <c r="F47" s="68" t="s">
        <v>221</v>
      </c>
      <c r="G47" s="138" t="s">
        <v>222</v>
      </c>
      <c r="H47" s="138" t="s">
        <v>223</v>
      </c>
      <c r="I47" s="138">
        <v>0</v>
      </c>
      <c r="J47" s="139">
        <v>1477</v>
      </c>
      <c r="K47" s="138">
        <v>0</v>
      </c>
      <c r="L47" s="138">
        <v>0</v>
      </c>
      <c r="M47" s="138">
        <v>0</v>
      </c>
      <c r="N47" s="138">
        <v>0</v>
      </c>
      <c r="O47" s="138">
        <v>0</v>
      </c>
      <c r="P47" s="138">
        <v>0</v>
      </c>
      <c r="Q47" s="138">
        <v>0</v>
      </c>
      <c r="R47" s="138">
        <v>0</v>
      </c>
      <c r="S47" s="138">
        <v>0</v>
      </c>
      <c r="T47" s="138">
        <v>0</v>
      </c>
      <c r="U47" s="138">
        <v>0</v>
      </c>
      <c r="V47" s="138">
        <v>0</v>
      </c>
      <c r="W47" s="138">
        <v>0</v>
      </c>
      <c r="X47" s="138">
        <v>0</v>
      </c>
      <c r="Y47" s="138">
        <v>0</v>
      </c>
      <c r="Z47" s="138">
        <v>0</v>
      </c>
      <c r="AA47" s="138">
        <v>49</v>
      </c>
      <c r="AB47" s="139">
        <v>3400</v>
      </c>
      <c r="AC47" s="139">
        <v>5985</v>
      </c>
      <c r="AD47" s="138">
        <v>24</v>
      </c>
      <c r="AE47" s="138">
        <v>800</v>
      </c>
      <c r="AF47" s="139">
        <v>7765</v>
      </c>
      <c r="AG47" s="138">
        <v>14</v>
      </c>
      <c r="AH47" s="139">
        <v>3360</v>
      </c>
      <c r="AI47" s="138">
        <v>0</v>
      </c>
      <c r="AJ47" s="138">
        <v>7</v>
      </c>
      <c r="AK47" s="138">
        <v>0</v>
      </c>
      <c r="AL47" s="139">
        <v>2800</v>
      </c>
      <c r="AM47" s="138">
        <v>1</v>
      </c>
      <c r="AN47" s="138">
        <v>200</v>
      </c>
      <c r="AO47" s="138">
        <v>0</v>
      </c>
      <c r="AP47" s="138">
        <v>0</v>
      </c>
      <c r="AQ47" s="138">
        <v>0</v>
      </c>
      <c r="AR47" s="138">
        <v>0</v>
      </c>
      <c r="AS47" s="138">
        <v>73</v>
      </c>
      <c r="AT47" s="139">
        <v>17520</v>
      </c>
      <c r="AU47" s="138">
        <v>0</v>
      </c>
      <c r="AV47" s="138">
        <v>20</v>
      </c>
      <c r="AW47" s="139">
        <v>9600</v>
      </c>
      <c r="AX47" s="138">
        <v>0</v>
      </c>
      <c r="AY47" s="138">
        <v>49</v>
      </c>
      <c r="AZ47" s="139">
        <v>11640</v>
      </c>
      <c r="BA47" s="138">
        <v>0</v>
      </c>
      <c r="BB47" s="138">
        <v>42</v>
      </c>
      <c r="BC47" s="139">
        <v>19080</v>
      </c>
      <c r="BD47" s="138">
        <v>800</v>
      </c>
      <c r="BE47" s="138">
        <v>0</v>
      </c>
      <c r="BF47" s="138">
        <v>0</v>
      </c>
      <c r="BG47" s="138">
        <v>0</v>
      </c>
      <c r="BH47" s="138">
        <v>0</v>
      </c>
      <c r="BI47" s="138">
        <v>0</v>
      </c>
      <c r="BJ47" s="138">
        <v>0</v>
      </c>
      <c r="BK47" s="138">
        <v>0</v>
      </c>
      <c r="BL47" s="138">
        <v>0</v>
      </c>
      <c r="BM47" s="138">
        <v>0</v>
      </c>
      <c r="BN47" s="138">
        <v>0</v>
      </c>
      <c r="BO47" s="138">
        <v>0</v>
      </c>
      <c r="BP47" s="138">
        <v>0</v>
      </c>
      <c r="BQ47" s="138">
        <v>0</v>
      </c>
      <c r="BR47" s="140">
        <v>6616.8</v>
      </c>
      <c r="BS47" s="141">
        <v>82950</v>
      </c>
      <c r="BT47" s="52">
        <f t="shared" si="3"/>
        <v>4400</v>
      </c>
      <c r="BU47" s="44">
        <f t="shared" si="4"/>
        <v>3360</v>
      </c>
      <c r="BV47" s="44">
        <f t="shared" si="5"/>
        <v>27120</v>
      </c>
      <c r="BW47" s="44">
        <f t="shared" si="6"/>
        <v>30720</v>
      </c>
      <c r="BX47" s="44">
        <f t="shared" si="7"/>
        <v>0</v>
      </c>
      <c r="BY47" s="44">
        <f t="shared" si="8"/>
        <v>0</v>
      </c>
      <c r="BZ47" s="52">
        <f t="shared" si="9"/>
        <v>17350</v>
      </c>
      <c r="CA47" s="52">
        <f t="shared" si="1"/>
        <v>76333.2</v>
      </c>
      <c r="CB47" s="52">
        <f t="shared" si="10"/>
        <v>45800</v>
      </c>
      <c r="CC47" s="59"/>
      <c r="CD47" s="53">
        <f t="shared" si="11"/>
        <v>45800</v>
      </c>
      <c r="CE47" s="10" t="str">
        <f t="shared" si="12"/>
        <v>매지컬 급식:암살법사</v>
      </c>
      <c r="CF47" s="60" t="str">
        <f t="shared" si="13"/>
        <v>매지컬급식:암살법사</v>
      </c>
      <c r="CG47" s="60" t="b">
        <f t="shared" si="14"/>
        <v>0</v>
      </c>
      <c r="CH47" s="63" t="str">
        <f t="shared" si="15"/>
        <v>매지컬급식:암살법사</v>
      </c>
      <c r="CI47" s="64">
        <f t="shared" si="17"/>
        <v>45800</v>
      </c>
      <c r="CJ47" s="63" t="s">
        <v>348</v>
      </c>
      <c r="CK47" s="71">
        <f>SUMIFS('컨텐츠별 매출 통계'!CV:CV,'컨텐츠별 매출 통계'!A:A,'작품별 집계'!A47,'컨텐츠별 매출 통계'!CF:CF,"2026-01")</f>
        <v>45800</v>
      </c>
      <c r="CL47" s="70">
        <f t="shared" si="16"/>
        <v>0</v>
      </c>
    </row>
    <row r="48" spans="1:90">
      <c r="A48" s="68" t="s">
        <v>108</v>
      </c>
      <c r="B48" s="68">
        <v>450444</v>
      </c>
      <c r="C48" s="137"/>
      <c r="D48" s="68" t="s">
        <v>385</v>
      </c>
      <c r="E48" s="68" t="s">
        <v>165</v>
      </c>
      <c r="F48" s="68" t="s">
        <v>165</v>
      </c>
      <c r="G48" s="138" t="s">
        <v>166</v>
      </c>
      <c r="H48" s="138" t="s">
        <v>216</v>
      </c>
      <c r="I48" s="138">
        <v>1</v>
      </c>
      <c r="J48" s="139">
        <v>2108</v>
      </c>
      <c r="K48" s="138">
        <v>200</v>
      </c>
      <c r="L48" s="138">
        <v>0</v>
      </c>
      <c r="M48" s="138">
        <v>0</v>
      </c>
      <c r="N48" s="138">
        <v>0</v>
      </c>
      <c r="O48" s="138">
        <v>0</v>
      </c>
      <c r="P48" s="138">
        <v>0</v>
      </c>
      <c r="Q48" s="138">
        <v>0</v>
      </c>
      <c r="R48" s="138">
        <v>0</v>
      </c>
      <c r="S48" s="138">
        <v>0</v>
      </c>
      <c r="T48" s="138">
        <v>0</v>
      </c>
      <c r="U48" s="138">
        <v>0</v>
      </c>
      <c r="V48" s="138">
        <v>0</v>
      </c>
      <c r="W48" s="138">
        <v>0</v>
      </c>
      <c r="X48" s="138">
        <v>0</v>
      </c>
      <c r="Y48" s="138">
        <v>0</v>
      </c>
      <c r="Z48" s="138">
        <v>0</v>
      </c>
      <c r="AA48" s="138">
        <v>42</v>
      </c>
      <c r="AB48" s="139">
        <v>15600</v>
      </c>
      <c r="AC48" s="139">
        <v>6780</v>
      </c>
      <c r="AD48" s="138">
        <v>0</v>
      </c>
      <c r="AE48" s="138">
        <v>0</v>
      </c>
      <c r="AF48" s="138">
        <v>0</v>
      </c>
      <c r="AG48" s="138">
        <v>37</v>
      </c>
      <c r="AH48" s="138">
        <v>720</v>
      </c>
      <c r="AI48" s="139">
        <v>6800</v>
      </c>
      <c r="AJ48" s="138">
        <v>0</v>
      </c>
      <c r="AK48" s="138">
        <v>0</v>
      </c>
      <c r="AL48" s="138">
        <v>0</v>
      </c>
      <c r="AM48" s="138">
        <v>1</v>
      </c>
      <c r="AN48" s="138">
        <v>200</v>
      </c>
      <c r="AO48" s="138">
        <v>0</v>
      </c>
      <c r="AP48" s="138">
        <v>0</v>
      </c>
      <c r="AQ48" s="138">
        <v>0</v>
      </c>
      <c r="AR48" s="138">
        <v>0</v>
      </c>
      <c r="AS48" s="138">
        <v>60</v>
      </c>
      <c r="AT48" s="139">
        <v>18200</v>
      </c>
      <c r="AU48" s="138">
        <v>0</v>
      </c>
      <c r="AV48" s="138">
        <v>0</v>
      </c>
      <c r="AW48" s="138">
        <v>0</v>
      </c>
      <c r="AX48" s="138">
        <v>0</v>
      </c>
      <c r="AY48" s="138">
        <v>73</v>
      </c>
      <c r="AZ48" s="139">
        <v>21360</v>
      </c>
      <c r="BA48" s="138">
        <v>0</v>
      </c>
      <c r="BB48" s="138">
        <v>0</v>
      </c>
      <c r="BC48" s="138">
        <v>0</v>
      </c>
      <c r="BD48" s="138">
        <v>0</v>
      </c>
      <c r="BE48" s="138">
        <v>0</v>
      </c>
      <c r="BF48" s="138">
        <v>0</v>
      </c>
      <c r="BG48" s="138">
        <v>0</v>
      </c>
      <c r="BH48" s="138">
        <v>0</v>
      </c>
      <c r="BI48" s="138">
        <v>0</v>
      </c>
      <c r="BJ48" s="138">
        <v>0</v>
      </c>
      <c r="BK48" s="138">
        <v>0</v>
      </c>
      <c r="BL48" s="138">
        <v>0</v>
      </c>
      <c r="BM48" s="138">
        <v>0</v>
      </c>
      <c r="BN48" s="138">
        <v>0</v>
      </c>
      <c r="BO48" s="138">
        <v>0</v>
      </c>
      <c r="BP48" s="138">
        <v>0</v>
      </c>
      <c r="BQ48" s="138">
        <v>0</v>
      </c>
      <c r="BR48" s="140">
        <v>4432.3999999999996</v>
      </c>
      <c r="BS48" s="141">
        <v>69860</v>
      </c>
      <c r="BT48" s="52">
        <f t="shared" si="3"/>
        <v>15800</v>
      </c>
      <c r="BU48" s="44">
        <f t="shared" si="4"/>
        <v>720</v>
      </c>
      <c r="BV48" s="44">
        <f t="shared" si="5"/>
        <v>18200</v>
      </c>
      <c r="BW48" s="44">
        <f t="shared" si="6"/>
        <v>21360</v>
      </c>
      <c r="BX48" s="44">
        <f t="shared" si="7"/>
        <v>0</v>
      </c>
      <c r="BY48" s="44">
        <f t="shared" si="8"/>
        <v>0</v>
      </c>
      <c r="BZ48" s="52">
        <f t="shared" si="9"/>
        <v>13780</v>
      </c>
      <c r="CA48" s="52">
        <f t="shared" si="1"/>
        <v>65427.6</v>
      </c>
      <c r="CB48" s="52">
        <f t="shared" si="10"/>
        <v>39257</v>
      </c>
      <c r="CC48" s="59"/>
      <c r="CD48" s="53">
        <f t="shared" si="11"/>
        <v>39257</v>
      </c>
      <c r="CE48" s="10" t="str">
        <f t="shared" si="12"/>
        <v>존망코인</v>
      </c>
      <c r="CF48" s="60" t="str">
        <f t="shared" si="13"/>
        <v>존망코인</v>
      </c>
      <c r="CG48" s="60" t="b">
        <f t="shared" si="14"/>
        <v>1</v>
      </c>
      <c r="CH48" s="63" t="str">
        <f t="shared" si="15"/>
        <v>존망코인</v>
      </c>
      <c r="CI48" s="64">
        <f t="shared" si="17"/>
        <v>39257</v>
      </c>
      <c r="CJ48" s="63" t="s">
        <v>348</v>
      </c>
      <c r="CK48" s="71">
        <f>SUMIFS('컨텐츠별 매출 통계'!CV:CV,'컨텐츠별 매출 통계'!A:A,'작품별 집계'!A48,'컨텐츠별 매출 통계'!CF:CF,"2026-01")</f>
        <v>39257</v>
      </c>
      <c r="CL48" s="70">
        <f t="shared" si="16"/>
        <v>0</v>
      </c>
    </row>
    <row r="49" spans="1:92">
      <c r="A49" s="68" t="s">
        <v>208</v>
      </c>
      <c r="B49" s="68">
        <v>450433</v>
      </c>
      <c r="C49" s="137"/>
      <c r="D49" s="68" t="s">
        <v>385</v>
      </c>
      <c r="E49" s="68" t="s">
        <v>209</v>
      </c>
      <c r="F49" s="68" t="s">
        <v>209</v>
      </c>
      <c r="G49" s="138" t="s">
        <v>170</v>
      </c>
      <c r="H49" s="138" t="s">
        <v>210</v>
      </c>
      <c r="I49" s="138">
        <v>0</v>
      </c>
      <c r="J49" s="139">
        <v>1505</v>
      </c>
      <c r="K49" s="138">
        <v>0</v>
      </c>
      <c r="L49" s="138">
        <v>0</v>
      </c>
      <c r="M49" s="138">
        <v>0</v>
      </c>
      <c r="N49" s="138">
        <v>0</v>
      </c>
      <c r="O49" s="138">
        <v>0</v>
      </c>
      <c r="P49" s="138">
        <v>0</v>
      </c>
      <c r="Q49" s="138">
        <v>0</v>
      </c>
      <c r="R49" s="138">
        <v>0</v>
      </c>
      <c r="S49" s="138">
        <v>0</v>
      </c>
      <c r="T49" s="138">
        <v>0</v>
      </c>
      <c r="U49" s="138">
        <v>0</v>
      </c>
      <c r="V49" s="138">
        <v>0</v>
      </c>
      <c r="W49" s="138">
        <v>0</v>
      </c>
      <c r="X49" s="138">
        <v>0</v>
      </c>
      <c r="Y49" s="138">
        <v>0</v>
      </c>
      <c r="Z49" s="138">
        <v>0</v>
      </c>
      <c r="AA49" s="138">
        <v>178</v>
      </c>
      <c r="AB49" s="139">
        <v>4300</v>
      </c>
      <c r="AC49" s="139">
        <v>12105</v>
      </c>
      <c r="AD49" s="138">
        <v>1</v>
      </c>
      <c r="AE49" s="138">
        <v>0</v>
      </c>
      <c r="AF49" s="138">
        <v>200</v>
      </c>
      <c r="AG49" s="138">
        <v>125</v>
      </c>
      <c r="AH49" s="139">
        <v>11384</v>
      </c>
      <c r="AI49" s="139">
        <v>3000</v>
      </c>
      <c r="AJ49" s="138">
        <v>0</v>
      </c>
      <c r="AK49" s="138">
        <v>0</v>
      </c>
      <c r="AL49" s="138">
        <v>0</v>
      </c>
      <c r="AM49" s="138">
        <v>23</v>
      </c>
      <c r="AN49" s="139">
        <v>2300</v>
      </c>
      <c r="AO49" s="138">
        <v>0</v>
      </c>
      <c r="AP49" s="138">
        <v>0</v>
      </c>
      <c r="AQ49" s="138">
        <v>0</v>
      </c>
      <c r="AR49" s="138">
        <v>0</v>
      </c>
      <c r="AS49" s="138">
        <v>75</v>
      </c>
      <c r="AT49" s="139">
        <v>9000</v>
      </c>
      <c r="AU49" s="138">
        <v>0</v>
      </c>
      <c r="AV49" s="138">
        <v>0</v>
      </c>
      <c r="AW49" s="138">
        <v>0</v>
      </c>
      <c r="AX49" s="138">
        <v>0</v>
      </c>
      <c r="AY49" s="138">
        <v>218</v>
      </c>
      <c r="AZ49" s="139">
        <v>26160</v>
      </c>
      <c r="BA49" s="138">
        <v>0</v>
      </c>
      <c r="BB49" s="138">
        <v>0</v>
      </c>
      <c r="BC49" s="138">
        <v>0</v>
      </c>
      <c r="BD49" s="138">
        <v>0</v>
      </c>
      <c r="BE49" s="138">
        <v>0</v>
      </c>
      <c r="BF49" s="138">
        <v>0</v>
      </c>
      <c r="BG49" s="138">
        <v>0</v>
      </c>
      <c r="BH49" s="138">
        <v>0</v>
      </c>
      <c r="BI49" s="138">
        <v>0</v>
      </c>
      <c r="BJ49" s="138">
        <v>0</v>
      </c>
      <c r="BK49" s="138">
        <v>0</v>
      </c>
      <c r="BL49" s="138">
        <v>0</v>
      </c>
      <c r="BM49" s="138">
        <v>0</v>
      </c>
      <c r="BN49" s="138">
        <v>0</v>
      </c>
      <c r="BO49" s="138">
        <v>0</v>
      </c>
      <c r="BP49" s="138">
        <v>0</v>
      </c>
      <c r="BQ49" s="138">
        <v>0</v>
      </c>
      <c r="BR49" s="140">
        <v>6867.6</v>
      </c>
      <c r="BS49" s="141">
        <v>68449</v>
      </c>
      <c r="BT49" s="52">
        <f t="shared" si="3"/>
        <v>6600</v>
      </c>
      <c r="BU49" s="44">
        <f t="shared" si="4"/>
        <v>11384</v>
      </c>
      <c r="BV49" s="44">
        <f t="shared" si="5"/>
        <v>9000</v>
      </c>
      <c r="BW49" s="44">
        <f t="shared" si="6"/>
        <v>26160</v>
      </c>
      <c r="BX49" s="44">
        <f t="shared" si="7"/>
        <v>0</v>
      </c>
      <c r="BY49" s="44">
        <f t="shared" si="8"/>
        <v>0</v>
      </c>
      <c r="BZ49" s="52">
        <f t="shared" si="9"/>
        <v>15305</v>
      </c>
      <c r="CA49" s="52">
        <f t="shared" si="1"/>
        <v>61581.4</v>
      </c>
      <c r="CB49" s="52">
        <f t="shared" si="10"/>
        <v>36949</v>
      </c>
      <c r="CC49" s="59"/>
      <c r="CD49" s="53">
        <f t="shared" si="11"/>
        <v>36949</v>
      </c>
      <c r="CE49" s="10" t="str">
        <f t="shared" si="12"/>
        <v>소극적 인간</v>
      </c>
      <c r="CF49" s="60" t="str">
        <f t="shared" si="13"/>
        <v>소극적인간</v>
      </c>
      <c r="CG49" s="60" t="b">
        <f t="shared" si="14"/>
        <v>0</v>
      </c>
      <c r="CH49" s="63" t="str">
        <f t="shared" si="15"/>
        <v>소극적인간</v>
      </c>
      <c r="CI49" s="64">
        <f t="shared" si="17"/>
        <v>36949</v>
      </c>
      <c r="CJ49" s="63" t="s">
        <v>348</v>
      </c>
      <c r="CK49" s="71">
        <f>SUMIFS('컨텐츠별 매출 통계'!CV:CV,'컨텐츠별 매출 통계'!A:A,'작품별 집계'!A49,'컨텐츠별 매출 통계'!CF:CF,"2026-01")</f>
        <v>36949</v>
      </c>
      <c r="CL49" s="70">
        <f t="shared" si="16"/>
        <v>0</v>
      </c>
      <c r="CM49" s="10"/>
      <c r="CN49" s="55"/>
    </row>
    <row r="50" spans="1:92">
      <c r="A50" s="68" t="s">
        <v>132</v>
      </c>
      <c r="B50" s="68">
        <v>525286</v>
      </c>
      <c r="C50" s="137"/>
      <c r="D50" s="68" t="s">
        <v>385</v>
      </c>
      <c r="E50" s="68" t="s">
        <v>188</v>
      </c>
      <c r="F50" s="68" t="s">
        <v>165</v>
      </c>
      <c r="G50" s="138" t="s">
        <v>166</v>
      </c>
      <c r="H50" s="138" t="s">
        <v>387</v>
      </c>
      <c r="I50" s="138">
        <v>0</v>
      </c>
      <c r="J50" s="138">
        <v>0</v>
      </c>
      <c r="K50" s="138">
        <v>0</v>
      </c>
      <c r="L50" s="138">
        <v>0</v>
      </c>
      <c r="M50" s="138">
        <v>0</v>
      </c>
      <c r="N50" s="138">
        <v>0</v>
      </c>
      <c r="O50" s="138">
        <v>0</v>
      </c>
      <c r="P50" s="138">
        <v>0</v>
      </c>
      <c r="Q50" s="138">
        <v>0</v>
      </c>
      <c r="R50" s="138">
        <v>0</v>
      </c>
      <c r="S50" s="138">
        <v>0</v>
      </c>
      <c r="T50" s="138">
        <v>0</v>
      </c>
      <c r="U50" s="138">
        <v>0</v>
      </c>
      <c r="V50" s="138">
        <v>0</v>
      </c>
      <c r="W50" s="138">
        <v>0</v>
      </c>
      <c r="X50" s="138">
        <v>0</v>
      </c>
      <c r="Y50" s="138">
        <v>0</v>
      </c>
      <c r="Z50" s="138">
        <v>0</v>
      </c>
      <c r="AA50" s="138">
        <v>0</v>
      </c>
      <c r="AB50" s="138">
        <v>0</v>
      </c>
      <c r="AC50" s="138">
        <v>0</v>
      </c>
      <c r="AD50" s="138">
        <v>78</v>
      </c>
      <c r="AE50" s="139">
        <v>39000</v>
      </c>
      <c r="AF50" s="138">
        <v>0</v>
      </c>
      <c r="AG50" s="138">
        <v>0</v>
      </c>
      <c r="AH50" s="138">
        <v>0</v>
      </c>
      <c r="AI50" s="138">
        <v>0</v>
      </c>
      <c r="AJ50" s="138">
        <v>0</v>
      </c>
      <c r="AK50" s="138">
        <v>0</v>
      </c>
      <c r="AL50" s="138">
        <v>0</v>
      </c>
      <c r="AM50" s="138">
        <v>0</v>
      </c>
      <c r="AN50" s="138">
        <v>0</v>
      </c>
      <c r="AO50" s="138">
        <v>0</v>
      </c>
      <c r="AP50" s="138">
        <v>0</v>
      </c>
      <c r="AQ50" s="138">
        <v>0</v>
      </c>
      <c r="AR50" s="138">
        <v>0</v>
      </c>
      <c r="AS50" s="138">
        <v>0</v>
      </c>
      <c r="AT50" s="138">
        <v>0</v>
      </c>
      <c r="AU50" s="138">
        <v>0</v>
      </c>
      <c r="AV50" s="138">
        <v>0</v>
      </c>
      <c r="AW50" s="138">
        <v>0</v>
      </c>
      <c r="AX50" s="138">
        <v>0</v>
      </c>
      <c r="AY50" s="138">
        <v>0</v>
      </c>
      <c r="AZ50" s="138">
        <v>0</v>
      </c>
      <c r="BA50" s="138">
        <v>0</v>
      </c>
      <c r="BB50" s="138">
        <v>0</v>
      </c>
      <c r="BC50" s="138">
        <v>0</v>
      </c>
      <c r="BD50" s="138">
        <v>0</v>
      </c>
      <c r="BE50" s="138">
        <v>0</v>
      </c>
      <c r="BF50" s="138">
        <v>0</v>
      </c>
      <c r="BG50" s="138">
        <v>0</v>
      </c>
      <c r="BH50" s="138">
        <v>0</v>
      </c>
      <c r="BI50" s="138">
        <v>0</v>
      </c>
      <c r="BJ50" s="138">
        <v>0</v>
      </c>
      <c r="BK50" s="138">
        <v>0</v>
      </c>
      <c r="BL50" s="138">
        <v>0</v>
      </c>
      <c r="BM50" s="138">
        <v>0</v>
      </c>
      <c r="BN50" s="138">
        <v>0</v>
      </c>
      <c r="BO50" s="138">
        <v>0</v>
      </c>
      <c r="BP50" s="138">
        <v>0</v>
      </c>
      <c r="BQ50" s="138">
        <v>0</v>
      </c>
      <c r="BR50" s="140">
        <v>1170</v>
      </c>
      <c r="BS50" s="141">
        <v>39000</v>
      </c>
      <c r="BT50" s="52">
        <f t="shared" si="3"/>
        <v>39000</v>
      </c>
      <c r="BU50" s="44">
        <f t="shared" si="4"/>
        <v>0</v>
      </c>
      <c r="BV50" s="44">
        <f t="shared" si="5"/>
        <v>0</v>
      </c>
      <c r="BW50" s="44">
        <f t="shared" si="6"/>
        <v>0</v>
      </c>
      <c r="BX50" s="44">
        <f t="shared" si="7"/>
        <v>0</v>
      </c>
      <c r="BY50" s="44">
        <f t="shared" si="8"/>
        <v>0</v>
      </c>
      <c r="BZ50" s="52">
        <f t="shared" si="9"/>
        <v>0</v>
      </c>
      <c r="CA50" s="52">
        <f t="shared" si="1"/>
        <v>37830</v>
      </c>
      <c r="CB50" s="52">
        <f t="shared" si="10"/>
        <v>22698</v>
      </c>
      <c r="CC50" s="59"/>
      <c r="CD50" s="53">
        <f t="shared" si="11"/>
        <v>22698</v>
      </c>
      <c r="CE50" s="10" t="str">
        <f t="shared" si="12"/>
        <v>체탐자</v>
      </c>
      <c r="CF50" s="60" t="str">
        <f t="shared" si="13"/>
        <v>체탐자</v>
      </c>
      <c r="CG50" s="60" t="b">
        <f t="shared" si="14"/>
        <v>1</v>
      </c>
      <c r="CH50" s="63" t="str">
        <f t="shared" si="15"/>
        <v>체탐자</v>
      </c>
      <c r="CI50" s="64">
        <f t="shared" si="17"/>
        <v>22698</v>
      </c>
      <c r="CJ50" s="63" t="s">
        <v>348</v>
      </c>
      <c r="CK50" s="71">
        <f>SUMIFS('컨텐츠별 매출 통계'!CV:CV,'컨텐츠별 매출 통계'!A:A,'작품별 집계'!A50,'컨텐츠별 매출 통계'!CF:CF,"2026-01")</f>
        <v>22698</v>
      </c>
      <c r="CL50" s="70">
        <f t="shared" si="16"/>
        <v>0</v>
      </c>
      <c r="CM50" s="10"/>
      <c r="CN50" s="55"/>
    </row>
    <row r="51" spans="1:92">
      <c r="A51" s="68" t="s">
        <v>144</v>
      </c>
      <c r="B51" s="68">
        <v>574030</v>
      </c>
      <c r="C51" s="137"/>
      <c r="D51" s="68" t="s">
        <v>385</v>
      </c>
      <c r="E51" s="68" t="s">
        <v>181</v>
      </c>
      <c r="F51" s="68" t="s">
        <v>165</v>
      </c>
      <c r="G51" s="138" t="s">
        <v>166</v>
      </c>
      <c r="H51" s="138" t="s">
        <v>354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>
        <v>0</v>
      </c>
      <c r="O51" s="138">
        <v>0</v>
      </c>
      <c r="P51" s="138">
        <v>0</v>
      </c>
      <c r="Q51" s="138">
        <v>0</v>
      </c>
      <c r="R51" s="138">
        <v>0</v>
      </c>
      <c r="S51" s="138">
        <v>0</v>
      </c>
      <c r="T51" s="138">
        <v>0</v>
      </c>
      <c r="U51" s="138">
        <v>0</v>
      </c>
      <c r="V51" s="138">
        <v>0</v>
      </c>
      <c r="W51" s="138">
        <v>0</v>
      </c>
      <c r="X51" s="138">
        <v>0</v>
      </c>
      <c r="Y51" s="138">
        <v>0</v>
      </c>
      <c r="Z51" s="138">
        <v>0</v>
      </c>
      <c r="AA51" s="138">
        <v>0</v>
      </c>
      <c r="AB51" s="138">
        <v>0</v>
      </c>
      <c r="AC51" s="138">
        <v>0</v>
      </c>
      <c r="AD51" s="138">
        <v>0</v>
      </c>
      <c r="AE51" s="138">
        <v>0</v>
      </c>
      <c r="AF51" s="138">
        <v>0</v>
      </c>
      <c r="AG51" s="138">
        <v>0</v>
      </c>
      <c r="AH51" s="138">
        <v>0</v>
      </c>
      <c r="AI51" s="138">
        <v>0</v>
      </c>
      <c r="AJ51" s="138">
        <v>0</v>
      </c>
      <c r="AK51" s="138">
        <v>0</v>
      </c>
      <c r="AL51" s="138">
        <v>0</v>
      </c>
      <c r="AM51" s="138">
        <v>0</v>
      </c>
      <c r="AN51" s="138">
        <v>0</v>
      </c>
      <c r="AO51" s="138">
        <v>0</v>
      </c>
      <c r="AP51" s="138">
        <v>0</v>
      </c>
      <c r="AQ51" s="138">
        <v>0</v>
      </c>
      <c r="AR51" s="138">
        <v>0</v>
      </c>
      <c r="AS51" s="138">
        <v>0</v>
      </c>
      <c r="AT51" s="138">
        <v>0</v>
      </c>
      <c r="AU51" s="138">
        <v>0</v>
      </c>
      <c r="AV51" s="138">
        <v>52</v>
      </c>
      <c r="AW51" s="139">
        <v>31200</v>
      </c>
      <c r="AX51" s="138">
        <v>0</v>
      </c>
      <c r="AY51" s="138">
        <v>0</v>
      </c>
      <c r="AZ51" s="138">
        <v>0</v>
      </c>
      <c r="BA51" s="138">
        <v>0</v>
      </c>
      <c r="BB51" s="138">
        <v>0</v>
      </c>
      <c r="BC51" s="138">
        <v>0</v>
      </c>
      <c r="BD51" s="138">
        <v>0</v>
      </c>
      <c r="BE51" s="138">
        <v>0</v>
      </c>
      <c r="BF51" s="138">
        <v>0</v>
      </c>
      <c r="BG51" s="138">
        <v>0</v>
      </c>
      <c r="BH51" s="138">
        <v>0</v>
      </c>
      <c r="BI51" s="138">
        <v>0</v>
      </c>
      <c r="BJ51" s="138">
        <v>0</v>
      </c>
      <c r="BK51" s="138">
        <v>0</v>
      </c>
      <c r="BL51" s="138">
        <v>0</v>
      </c>
      <c r="BM51" s="138">
        <v>0</v>
      </c>
      <c r="BN51" s="138">
        <v>0</v>
      </c>
      <c r="BO51" s="138">
        <v>0</v>
      </c>
      <c r="BP51" s="138">
        <v>0</v>
      </c>
      <c r="BQ51" s="138">
        <v>0</v>
      </c>
      <c r="BR51" s="140">
        <v>3120</v>
      </c>
      <c r="BS51" s="141">
        <v>31200</v>
      </c>
      <c r="BT51" s="54">
        <f>L51+U51+AB51+AE51+AN51+AQ51</f>
        <v>0</v>
      </c>
      <c r="BU51" s="54">
        <f>AH51+AK51</f>
        <v>0</v>
      </c>
      <c r="BV51" s="54">
        <f>AT51+AW51</f>
        <v>31200</v>
      </c>
      <c r="BW51" s="54">
        <f>+AZ51+BC51</f>
        <v>0</v>
      </c>
      <c r="BX51" s="10">
        <f>BF51+BI51</f>
        <v>0</v>
      </c>
      <c r="BY51" s="54">
        <f>+BL51+BO51</f>
        <v>0</v>
      </c>
      <c r="BZ51" s="54">
        <f>M51+AC51+AF51+AI51+AL51+AO51+AR51+K51+AU51+AX51+BA51+BD51+BG51+BJ51+BM51+BP51</f>
        <v>0</v>
      </c>
      <c r="CA51" s="55">
        <f t="shared" si="1"/>
        <v>28080</v>
      </c>
      <c r="CB51" s="52">
        <f t="shared" si="10"/>
        <v>16848</v>
      </c>
      <c r="CC51" s="59">
        <v>1</v>
      </c>
      <c r="CD51" s="53">
        <f t="shared" si="11"/>
        <v>16849</v>
      </c>
      <c r="CE51" s="10" t="str">
        <f t="shared" si="12"/>
        <v>소년법칙</v>
      </c>
      <c r="CF51" s="60" t="str">
        <f t="shared" si="13"/>
        <v>소년법칙</v>
      </c>
      <c r="CG51" s="60" t="b">
        <f t="shared" si="14"/>
        <v>1</v>
      </c>
      <c r="CH51" s="63" t="str">
        <f t="shared" si="15"/>
        <v>소년법칙</v>
      </c>
      <c r="CI51" s="64">
        <f t="shared" si="17"/>
        <v>16849</v>
      </c>
      <c r="CJ51" s="63" t="s">
        <v>348</v>
      </c>
      <c r="CK51" s="71">
        <f>SUMIFS('컨텐츠별 매출 통계'!CV:CV,'컨텐츠별 매출 통계'!A:A,'작품별 집계'!A51,'컨텐츠별 매출 통계'!CF:CF,"2026-01")</f>
        <v>16849</v>
      </c>
      <c r="CL51" s="70">
        <f t="shared" si="16"/>
        <v>0</v>
      </c>
    </row>
    <row r="52" spans="1:92">
      <c r="A52" s="68" t="s">
        <v>136</v>
      </c>
      <c r="B52" s="68">
        <v>542562</v>
      </c>
      <c r="C52" s="137"/>
      <c r="D52" s="68" t="s">
        <v>385</v>
      </c>
      <c r="E52" s="68" t="s">
        <v>217</v>
      </c>
      <c r="F52" s="68" t="s">
        <v>218</v>
      </c>
      <c r="G52" s="138" t="s">
        <v>166</v>
      </c>
      <c r="H52" s="138" t="s">
        <v>219</v>
      </c>
      <c r="I52" s="138">
        <v>0</v>
      </c>
      <c r="J52" s="138">
        <v>134</v>
      </c>
      <c r="K52" s="138">
        <v>0</v>
      </c>
      <c r="L52" s="138">
        <v>0</v>
      </c>
      <c r="M52" s="138">
        <v>0</v>
      </c>
      <c r="N52" s="138">
        <v>0</v>
      </c>
      <c r="O52" s="138">
        <v>0</v>
      </c>
      <c r="P52" s="138">
        <v>0</v>
      </c>
      <c r="Q52" s="138">
        <v>0</v>
      </c>
      <c r="R52" s="138">
        <v>0</v>
      </c>
      <c r="S52" s="138">
        <v>0</v>
      </c>
      <c r="T52" s="138">
        <v>0</v>
      </c>
      <c r="U52" s="138">
        <v>0</v>
      </c>
      <c r="V52" s="138">
        <v>0</v>
      </c>
      <c r="W52" s="138">
        <v>0</v>
      </c>
      <c r="X52" s="138">
        <v>0</v>
      </c>
      <c r="Y52" s="138">
        <v>0</v>
      </c>
      <c r="Z52" s="138">
        <v>0</v>
      </c>
      <c r="AA52" s="138">
        <v>35</v>
      </c>
      <c r="AB52" s="139">
        <v>6600</v>
      </c>
      <c r="AC52" s="138">
        <v>400</v>
      </c>
      <c r="AD52" s="138">
        <v>0</v>
      </c>
      <c r="AE52" s="138">
        <v>0</v>
      </c>
      <c r="AF52" s="138">
        <v>0</v>
      </c>
      <c r="AG52" s="138">
        <v>2</v>
      </c>
      <c r="AH52" s="138">
        <v>480</v>
      </c>
      <c r="AI52" s="138">
        <v>0</v>
      </c>
      <c r="AJ52" s="138">
        <v>0</v>
      </c>
      <c r="AK52" s="138">
        <v>0</v>
      </c>
      <c r="AL52" s="138">
        <v>0</v>
      </c>
      <c r="AM52" s="138">
        <v>0</v>
      </c>
      <c r="AN52" s="138">
        <v>0</v>
      </c>
      <c r="AO52" s="138">
        <v>0</v>
      </c>
      <c r="AP52" s="138">
        <v>0</v>
      </c>
      <c r="AQ52" s="138">
        <v>0</v>
      </c>
      <c r="AR52" s="138">
        <v>0</v>
      </c>
      <c r="AS52" s="138">
        <v>33</v>
      </c>
      <c r="AT52" s="139">
        <v>7840</v>
      </c>
      <c r="AU52" s="138">
        <v>0</v>
      </c>
      <c r="AV52" s="138">
        <v>0</v>
      </c>
      <c r="AW52" s="138">
        <v>0</v>
      </c>
      <c r="AX52" s="138">
        <v>0</v>
      </c>
      <c r="AY52" s="138">
        <v>17</v>
      </c>
      <c r="AZ52" s="139">
        <v>4080</v>
      </c>
      <c r="BA52" s="138">
        <v>0</v>
      </c>
      <c r="BB52" s="138">
        <v>0</v>
      </c>
      <c r="BC52" s="138">
        <v>0</v>
      </c>
      <c r="BD52" s="138">
        <v>0</v>
      </c>
      <c r="BE52" s="138">
        <v>0</v>
      </c>
      <c r="BF52" s="138">
        <v>0</v>
      </c>
      <c r="BG52" s="138">
        <v>0</v>
      </c>
      <c r="BH52" s="138">
        <v>0</v>
      </c>
      <c r="BI52" s="138">
        <v>0</v>
      </c>
      <c r="BJ52" s="138">
        <v>0</v>
      </c>
      <c r="BK52" s="138">
        <v>0</v>
      </c>
      <c r="BL52" s="138">
        <v>0</v>
      </c>
      <c r="BM52" s="138">
        <v>0</v>
      </c>
      <c r="BN52" s="138">
        <v>0</v>
      </c>
      <c r="BO52" s="138">
        <v>0</v>
      </c>
      <c r="BP52" s="138">
        <v>0</v>
      </c>
      <c r="BQ52" s="138">
        <v>0</v>
      </c>
      <c r="BR52" s="140">
        <v>1493.2</v>
      </c>
      <c r="BS52" s="141">
        <v>19400</v>
      </c>
      <c r="BT52" s="54">
        <f t="shared" ref="BT52:BT53" si="18">L52+U52+AB52+AE52+AN52+AQ52</f>
        <v>6600</v>
      </c>
      <c r="BU52" s="54">
        <f t="shared" ref="BU52:BU53" si="19">AH52+AK52</f>
        <v>480</v>
      </c>
      <c r="BV52" s="54">
        <f t="shared" ref="BV52:BV53" si="20">AT52+AW52</f>
        <v>7840</v>
      </c>
      <c r="BW52" s="54">
        <f t="shared" ref="BW52:BW53" si="21">+AZ52+BC52</f>
        <v>4080</v>
      </c>
      <c r="BX52" s="10">
        <f t="shared" ref="BX52:BX53" si="22">BF52+BI52</f>
        <v>0</v>
      </c>
      <c r="BY52" s="54">
        <f t="shared" ref="BY52:BY53" si="23">+BL52+BO52</f>
        <v>0</v>
      </c>
      <c r="BZ52" s="54">
        <f t="shared" ref="BZ52:BZ53" si="24">M52+AC52+AF52+AI52+AL52+AO52+AR52+K52+AU52+AX52+BA52+BD52+BG52+BJ52+BM52+BP52</f>
        <v>400</v>
      </c>
      <c r="CA52" s="55">
        <f t="shared" ref="CA52:CA53" si="25">IF((BT52+BU52+BZ52+BV52+BW52+BX52+BY52)=BS52,BS52-BR52,"?""")</f>
        <v>17906.8</v>
      </c>
      <c r="CB52" s="52">
        <f t="shared" ref="CB52:CB53" si="26">ROUND(CA52*$CB$3,)</f>
        <v>10744</v>
      </c>
      <c r="CC52" s="59">
        <v>1</v>
      </c>
      <c r="CD52" s="53">
        <f t="shared" si="11"/>
        <v>10745</v>
      </c>
      <c r="CE52" s="10" t="str">
        <f t="shared" si="12"/>
        <v>감금 구역 레벨 X</v>
      </c>
      <c r="CF52" s="60" t="str">
        <f t="shared" si="13"/>
        <v>감금구역레벨X</v>
      </c>
      <c r="CG52" s="60" t="b">
        <f t="shared" si="14"/>
        <v>0</v>
      </c>
      <c r="CH52" s="63" t="str">
        <f t="shared" si="15"/>
        <v>감금구역레벨X</v>
      </c>
      <c r="CI52" s="64">
        <f t="shared" si="17"/>
        <v>10745</v>
      </c>
      <c r="CJ52" s="63" t="s">
        <v>348</v>
      </c>
      <c r="CK52" s="71">
        <f>SUMIFS('컨텐츠별 매출 통계'!CV:CV,'컨텐츠별 매출 통계'!A:A,'작품별 집계'!A52,'컨텐츠별 매출 통계'!CF:CF,"2026-01")</f>
        <v>10745</v>
      </c>
      <c r="CL52" s="70">
        <f t="shared" si="16"/>
        <v>0</v>
      </c>
    </row>
    <row r="53" spans="1:92">
      <c r="A53" s="68" t="s">
        <v>149</v>
      </c>
      <c r="B53" s="68">
        <v>579185</v>
      </c>
      <c r="C53" s="137"/>
      <c r="D53" s="68" t="s">
        <v>385</v>
      </c>
      <c r="E53" s="68" t="s">
        <v>190</v>
      </c>
      <c r="F53" s="68" t="s">
        <v>165</v>
      </c>
      <c r="G53" s="138" t="s">
        <v>166</v>
      </c>
      <c r="H53" s="138" t="s">
        <v>386</v>
      </c>
      <c r="I53" s="138">
        <v>0</v>
      </c>
      <c r="J53" s="138">
        <v>0</v>
      </c>
      <c r="K53" s="138">
        <v>0</v>
      </c>
      <c r="L53" s="138">
        <v>0</v>
      </c>
      <c r="M53" s="138">
        <v>0</v>
      </c>
      <c r="N53" s="138">
        <v>0</v>
      </c>
      <c r="O53" s="138">
        <v>0</v>
      </c>
      <c r="P53" s="138">
        <v>0</v>
      </c>
      <c r="Q53" s="138">
        <v>0</v>
      </c>
      <c r="R53" s="138">
        <v>0</v>
      </c>
      <c r="S53" s="138">
        <v>0</v>
      </c>
      <c r="T53" s="138">
        <v>0</v>
      </c>
      <c r="U53" s="138">
        <v>0</v>
      </c>
      <c r="V53" s="138">
        <v>0</v>
      </c>
      <c r="W53" s="138">
        <v>0</v>
      </c>
      <c r="X53" s="138">
        <v>0</v>
      </c>
      <c r="Y53" s="138">
        <v>0</v>
      </c>
      <c r="Z53" s="138">
        <v>0</v>
      </c>
      <c r="AA53" s="138">
        <v>0</v>
      </c>
      <c r="AB53" s="138">
        <v>0</v>
      </c>
      <c r="AC53" s="138">
        <v>0</v>
      </c>
      <c r="AD53" s="138">
        <v>3</v>
      </c>
      <c r="AE53" s="138">
        <v>0</v>
      </c>
      <c r="AF53" s="138">
        <v>950</v>
      </c>
      <c r="AG53" s="138">
        <v>0</v>
      </c>
      <c r="AH53" s="138">
        <v>0</v>
      </c>
      <c r="AI53" s="138">
        <v>0</v>
      </c>
      <c r="AJ53" s="138">
        <v>0</v>
      </c>
      <c r="AK53" s="138">
        <v>0</v>
      </c>
      <c r="AL53" s="138">
        <v>0</v>
      </c>
      <c r="AM53" s="138">
        <v>0</v>
      </c>
      <c r="AN53" s="138">
        <v>0</v>
      </c>
      <c r="AO53" s="138">
        <v>0</v>
      </c>
      <c r="AP53" s="138">
        <v>28</v>
      </c>
      <c r="AQ53" s="139">
        <v>13700</v>
      </c>
      <c r="AR53" s="138">
        <v>200</v>
      </c>
      <c r="AS53" s="138">
        <v>0</v>
      </c>
      <c r="AT53" s="138">
        <v>0</v>
      </c>
      <c r="AU53" s="138">
        <v>0</v>
      </c>
      <c r="AV53" s="138">
        <v>0</v>
      </c>
      <c r="AW53" s="138">
        <v>0</v>
      </c>
      <c r="AX53" s="138">
        <v>0</v>
      </c>
      <c r="AY53" s="138">
        <v>0</v>
      </c>
      <c r="AZ53" s="138">
        <v>0</v>
      </c>
      <c r="BA53" s="138">
        <v>0</v>
      </c>
      <c r="BB53" s="138">
        <v>0</v>
      </c>
      <c r="BC53" s="138">
        <v>0</v>
      </c>
      <c r="BD53" s="138">
        <v>0</v>
      </c>
      <c r="BE53" s="138">
        <v>0</v>
      </c>
      <c r="BF53" s="138">
        <v>0</v>
      </c>
      <c r="BG53" s="138">
        <v>0</v>
      </c>
      <c r="BH53" s="138">
        <v>0</v>
      </c>
      <c r="BI53" s="138">
        <v>0</v>
      </c>
      <c r="BJ53" s="138">
        <v>0</v>
      </c>
      <c r="BK53" s="138">
        <v>0</v>
      </c>
      <c r="BL53" s="138">
        <v>0</v>
      </c>
      <c r="BM53" s="138">
        <v>0</v>
      </c>
      <c r="BN53" s="138">
        <v>0</v>
      </c>
      <c r="BO53" s="138">
        <v>0</v>
      </c>
      <c r="BP53" s="138">
        <v>0</v>
      </c>
      <c r="BQ53" s="138">
        <v>0</v>
      </c>
      <c r="BR53" s="138">
        <v>411</v>
      </c>
      <c r="BS53" s="141">
        <v>14850</v>
      </c>
      <c r="BT53" s="54">
        <f t="shared" si="18"/>
        <v>13700</v>
      </c>
      <c r="BU53" s="54">
        <f t="shared" si="19"/>
        <v>0</v>
      </c>
      <c r="BV53" s="54">
        <f t="shared" si="20"/>
        <v>0</v>
      </c>
      <c r="BW53" s="54">
        <f t="shared" si="21"/>
        <v>0</v>
      </c>
      <c r="BX53" s="10">
        <f t="shared" si="22"/>
        <v>0</v>
      </c>
      <c r="BY53" s="54">
        <f t="shared" si="23"/>
        <v>0</v>
      </c>
      <c r="BZ53" s="54">
        <f t="shared" si="24"/>
        <v>1150</v>
      </c>
      <c r="CA53" s="55">
        <f t="shared" si="25"/>
        <v>14439</v>
      </c>
      <c r="CB53" s="52">
        <f t="shared" si="26"/>
        <v>8663</v>
      </c>
      <c r="CC53" s="59">
        <v>1</v>
      </c>
      <c r="CD53" s="53">
        <f t="shared" si="11"/>
        <v>8664</v>
      </c>
      <c r="CE53" s="10" t="str">
        <f t="shared" si="12"/>
        <v>건곤불이기</v>
      </c>
      <c r="CF53" s="60" t="str">
        <f t="shared" si="13"/>
        <v>건곤불이기</v>
      </c>
      <c r="CG53" s="60" t="b">
        <f t="shared" si="14"/>
        <v>1</v>
      </c>
      <c r="CH53" s="63" t="str">
        <f t="shared" si="15"/>
        <v>건곤불이기</v>
      </c>
      <c r="CI53" s="64">
        <f t="shared" si="17"/>
        <v>8664</v>
      </c>
      <c r="CJ53" s="63" t="s">
        <v>348</v>
      </c>
      <c r="CK53" s="71">
        <f>SUMIFS('컨텐츠별 매출 통계'!CV:CV,'컨텐츠별 매출 통계'!A:A,'작품별 집계'!A53,'컨텐츠별 매출 통계'!CF:CF,"2026-01")</f>
        <v>8664</v>
      </c>
      <c r="CL53" s="70">
        <f t="shared" si="16"/>
        <v>0</v>
      </c>
    </row>
    <row r="54" spans="1:92">
      <c r="A54" s="68" t="s">
        <v>121</v>
      </c>
      <c r="B54" s="68">
        <v>488685</v>
      </c>
      <c r="C54" s="137"/>
      <c r="D54" s="68" t="s">
        <v>385</v>
      </c>
      <c r="E54" s="68" t="s">
        <v>244</v>
      </c>
      <c r="F54" s="68" t="s">
        <v>165</v>
      </c>
      <c r="G54" s="138" t="s">
        <v>166</v>
      </c>
      <c r="H54" s="138" t="s">
        <v>391</v>
      </c>
      <c r="I54" s="138">
        <v>0</v>
      </c>
      <c r="J54" s="138">
        <v>0</v>
      </c>
      <c r="K54" s="138">
        <v>0</v>
      </c>
      <c r="L54" s="138">
        <v>0</v>
      </c>
      <c r="M54" s="138">
        <v>0</v>
      </c>
      <c r="N54" s="138">
        <v>0</v>
      </c>
      <c r="O54" s="138">
        <v>0</v>
      </c>
      <c r="P54" s="138">
        <v>0</v>
      </c>
      <c r="Q54" s="138">
        <v>0</v>
      </c>
      <c r="R54" s="138">
        <v>0</v>
      </c>
      <c r="S54" s="138">
        <v>0</v>
      </c>
      <c r="T54" s="138">
        <v>0</v>
      </c>
      <c r="U54" s="138">
        <v>0</v>
      </c>
      <c r="V54" s="138">
        <v>0</v>
      </c>
      <c r="W54" s="138">
        <v>0</v>
      </c>
      <c r="X54" s="138">
        <v>0</v>
      </c>
      <c r="Y54" s="138">
        <v>0</v>
      </c>
      <c r="Z54" s="138">
        <v>0</v>
      </c>
      <c r="AA54" s="138">
        <v>0</v>
      </c>
      <c r="AB54" s="138">
        <v>0</v>
      </c>
      <c r="AC54" s="138">
        <v>0</v>
      </c>
      <c r="AD54" s="138">
        <v>5</v>
      </c>
      <c r="AE54" s="138">
        <v>300</v>
      </c>
      <c r="AF54" s="139">
        <v>1190</v>
      </c>
      <c r="AG54" s="138">
        <v>0</v>
      </c>
      <c r="AH54" s="138">
        <v>0</v>
      </c>
      <c r="AI54" s="138">
        <v>0</v>
      </c>
      <c r="AJ54" s="138">
        <v>0</v>
      </c>
      <c r="AK54" s="138">
        <v>0</v>
      </c>
      <c r="AL54" s="138">
        <v>0</v>
      </c>
      <c r="AM54" s="138">
        <v>0</v>
      </c>
      <c r="AN54" s="138">
        <v>0</v>
      </c>
      <c r="AO54" s="138">
        <v>0</v>
      </c>
      <c r="AP54" s="138">
        <v>1</v>
      </c>
      <c r="AQ54" s="138">
        <v>300</v>
      </c>
      <c r="AR54" s="138">
        <v>0</v>
      </c>
      <c r="AS54" s="138">
        <v>0</v>
      </c>
      <c r="AT54" s="138">
        <v>0</v>
      </c>
      <c r="AU54" s="138">
        <v>0</v>
      </c>
      <c r="AV54" s="138">
        <v>0</v>
      </c>
      <c r="AW54" s="138">
        <v>0</v>
      </c>
      <c r="AX54" s="138">
        <v>0</v>
      </c>
      <c r="AY54" s="138">
        <v>0</v>
      </c>
      <c r="AZ54" s="138">
        <v>0</v>
      </c>
      <c r="BA54" s="138">
        <v>0</v>
      </c>
      <c r="BB54" s="138">
        <v>0</v>
      </c>
      <c r="BC54" s="138">
        <v>0</v>
      </c>
      <c r="BD54" s="138">
        <v>0</v>
      </c>
      <c r="BE54" s="138">
        <v>0</v>
      </c>
      <c r="BF54" s="138">
        <v>0</v>
      </c>
      <c r="BG54" s="138">
        <v>0</v>
      </c>
      <c r="BH54" s="138">
        <v>0</v>
      </c>
      <c r="BI54" s="138">
        <v>0</v>
      </c>
      <c r="BJ54" s="138">
        <v>0</v>
      </c>
      <c r="BK54" s="138">
        <v>0</v>
      </c>
      <c r="BL54" s="138">
        <v>0</v>
      </c>
      <c r="BM54" s="138">
        <v>0</v>
      </c>
      <c r="BN54" s="138">
        <v>0</v>
      </c>
      <c r="BO54" s="138">
        <v>0</v>
      </c>
      <c r="BP54" s="138">
        <v>0</v>
      </c>
      <c r="BQ54" s="138">
        <v>0</v>
      </c>
      <c r="BR54" s="138">
        <v>18</v>
      </c>
      <c r="BS54" s="141">
        <v>1790</v>
      </c>
      <c r="BT54" s="54">
        <f t="shared" ref="BT54:BT55" si="27">L54+U54+AB54+AE54+AN54+AQ54</f>
        <v>600</v>
      </c>
      <c r="BU54" s="54">
        <f t="shared" ref="BU54:BU55" si="28">AH54+AK54</f>
        <v>0</v>
      </c>
      <c r="BV54" s="54">
        <f t="shared" ref="BV54:BV55" si="29">AT54+AW54</f>
        <v>0</v>
      </c>
      <c r="BW54" s="54">
        <f t="shared" ref="BW54:BW55" si="30">+AZ54+BC54</f>
        <v>0</v>
      </c>
      <c r="BX54" s="10">
        <f t="shared" ref="BX54:BX55" si="31">BF54+BI54</f>
        <v>0</v>
      </c>
      <c r="BY54" s="54">
        <f t="shared" ref="BY54:BY55" si="32">+BL54+BO54</f>
        <v>0</v>
      </c>
      <c r="BZ54" s="54">
        <f t="shared" ref="BZ54:BZ55" si="33">M54+AC54+AF54+AI54+AL54+AO54+AR54+K54+AU54+AX54+BA54+BD54+BG54+BJ54+BM54+BP54</f>
        <v>1190</v>
      </c>
      <c r="CA54" s="55">
        <f t="shared" ref="CA54:CA55" si="34">IF((BT54+BU54+BZ54+BV54+BW54+BX54+BY54)=BS54,BS54-BR54,"?""")</f>
        <v>1772</v>
      </c>
      <c r="CB54" s="52">
        <f t="shared" ref="CB54:CB55" si="35">ROUND(CA54*$CB$3,)</f>
        <v>1063</v>
      </c>
      <c r="CC54" s="59">
        <v>1</v>
      </c>
      <c r="CD54" s="53">
        <f t="shared" ref="CD54:CD55" si="36">CB54+CC54</f>
        <v>1064</v>
      </c>
      <c r="CE54" s="10" t="str">
        <f t="shared" si="12"/>
        <v>보스였음</v>
      </c>
      <c r="CF54" s="60" t="str">
        <f t="shared" ref="CF54:CF55" si="37">SUBSTITUTE(CE54," ","")</f>
        <v>보스였음</v>
      </c>
      <c r="CG54" s="60" t="b">
        <f t="shared" ref="CG54:CG55" si="38">CE54=CF54</f>
        <v>1</v>
      </c>
      <c r="CH54" s="63" t="str">
        <f t="shared" si="15"/>
        <v>보스였음</v>
      </c>
      <c r="CI54" s="64">
        <f t="shared" si="17"/>
        <v>1064</v>
      </c>
      <c r="CJ54" s="63" t="s">
        <v>348</v>
      </c>
      <c r="CK54" s="71">
        <f>SUMIFS('컨텐츠별 매출 통계'!CV:CV,'컨텐츠별 매출 통계'!A:A,'작품별 집계'!A54,'컨텐츠별 매출 통계'!CF:CF,"2026-01")</f>
        <v>1064</v>
      </c>
      <c r="CL54" s="70">
        <f t="shared" si="16"/>
        <v>0</v>
      </c>
    </row>
    <row r="55" spans="1:92">
      <c r="A55" s="68" t="s">
        <v>154</v>
      </c>
      <c r="B55" s="68">
        <v>590134</v>
      </c>
      <c r="C55" s="137"/>
      <c r="D55" s="68" t="s">
        <v>385</v>
      </c>
      <c r="E55" s="68" t="s">
        <v>192</v>
      </c>
      <c r="F55" s="68" t="s">
        <v>165</v>
      </c>
      <c r="G55" s="138" t="s">
        <v>166</v>
      </c>
      <c r="H55" s="138" t="s">
        <v>392</v>
      </c>
      <c r="I55" s="138">
        <v>0</v>
      </c>
      <c r="J55" s="138">
        <v>0</v>
      </c>
      <c r="K55" s="138">
        <v>0</v>
      </c>
      <c r="L55" s="138">
        <v>0</v>
      </c>
      <c r="M55" s="138">
        <v>0</v>
      </c>
      <c r="N55" s="138">
        <v>0</v>
      </c>
      <c r="O55" s="138">
        <v>0</v>
      </c>
      <c r="P55" s="138">
        <v>0</v>
      </c>
      <c r="Q55" s="138">
        <v>0</v>
      </c>
      <c r="R55" s="138">
        <v>0</v>
      </c>
      <c r="S55" s="138">
        <v>0</v>
      </c>
      <c r="T55" s="138">
        <v>0</v>
      </c>
      <c r="U55" s="138">
        <v>0</v>
      </c>
      <c r="V55" s="138">
        <v>0</v>
      </c>
      <c r="W55" s="138">
        <v>0</v>
      </c>
      <c r="X55" s="138">
        <v>0</v>
      </c>
      <c r="Y55" s="138">
        <v>0</v>
      </c>
      <c r="Z55" s="138">
        <v>0</v>
      </c>
      <c r="AA55" s="138">
        <v>0</v>
      </c>
      <c r="AB55" s="138">
        <v>0</v>
      </c>
      <c r="AC55" s="138">
        <v>0</v>
      </c>
      <c r="AD55" s="138">
        <v>0</v>
      </c>
      <c r="AE55" s="138">
        <v>0</v>
      </c>
      <c r="AF55" s="138">
        <v>0</v>
      </c>
      <c r="AG55" s="138">
        <v>0</v>
      </c>
      <c r="AH55" s="138">
        <v>0</v>
      </c>
      <c r="AI55" s="138">
        <v>0</v>
      </c>
      <c r="AJ55" s="138">
        <v>3</v>
      </c>
      <c r="AK55" s="138">
        <v>0</v>
      </c>
      <c r="AL55" s="139">
        <v>1200</v>
      </c>
      <c r="AM55" s="138">
        <v>0</v>
      </c>
      <c r="AN55" s="138">
        <v>0</v>
      </c>
      <c r="AO55" s="138">
        <v>0</v>
      </c>
      <c r="AP55" s="138">
        <v>0</v>
      </c>
      <c r="AQ55" s="138">
        <v>0</v>
      </c>
      <c r="AR55" s="138">
        <v>0</v>
      </c>
      <c r="AS55" s="138">
        <v>0</v>
      </c>
      <c r="AT55" s="138">
        <v>0</v>
      </c>
      <c r="AU55" s="138">
        <v>0</v>
      </c>
      <c r="AV55" s="138">
        <v>0</v>
      </c>
      <c r="AW55" s="138">
        <v>0</v>
      </c>
      <c r="AX55" s="138">
        <v>0</v>
      </c>
      <c r="AY55" s="138">
        <v>0</v>
      </c>
      <c r="AZ55" s="138">
        <v>0</v>
      </c>
      <c r="BA55" s="138">
        <v>0</v>
      </c>
      <c r="BB55" s="138">
        <v>0</v>
      </c>
      <c r="BC55" s="138">
        <v>0</v>
      </c>
      <c r="BD55" s="138">
        <v>0</v>
      </c>
      <c r="BE55" s="138">
        <v>0</v>
      </c>
      <c r="BF55" s="138">
        <v>0</v>
      </c>
      <c r="BG55" s="138">
        <v>0</v>
      </c>
      <c r="BH55" s="138">
        <v>0</v>
      </c>
      <c r="BI55" s="138">
        <v>0</v>
      </c>
      <c r="BJ55" s="138">
        <v>0</v>
      </c>
      <c r="BK55" s="138">
        <v>0</v>
      </c>
      <c r="BL55" s="138">
        <v>0</v>
      </c>
      <c r="BM55" s="138">
        <v>0</v>
      </c>
      <c r="BN55" s="138">
        <v>0</v>
      </c>
      <c r="BO55" s="138">
        <v>0</v>
      </c>
      <c r="BP55" s="138">
        <v>0</v>
      </c>
      <c r="BQ55" s="138">
        <v>0</v>
      </c>
      <c r="BR55" s="138">
        <v>0</v>
      </c>
      <c r="BS55" s="141">
        <v>1200</v>
      </c>
      <c r="BT55" s="54">
        <f t="shared" si="27"/>
        <v>0</v>
      </c>
      <c r="BU55" s="54">
        <f t="shared" si="28"/>
        <v>0</v>
      </c>
      <c r="BV55" s="54">
        <f t="shared" si="29"/>
        <v>0</v>
      </c>
      <c r="BW55" s="54">
        <f t="shared" si="30"/>
        <v>0</v>
      </c>
      <c r="BX55" s="10">
        <f t="shared" si="31"/>
        <v>0</v>
      </c>
      <c r="BY55" s="54">
        <f t="shared" si="32"/>
        <v>0</v>
      </c>
      <c r="BZ55" s="54">
        <f t="shared" si="33"/>
        <v>1200</v>
      </c>
      <c r="CA55" s="55">
        <f t="shared" si="34"/>
        <v>1200</v>
      </c>
      <c r="CB55" s="52">
        <f t="shared" si="35"/>
        <v>720</v>
      </c>
      <c r="CC55" s="59"/>
      <c r="CD55" s="53">
        <f t="shared" si="36"/>
        <v>720</v>
      </c>
      <c r="CE55" s="10" t="str">
        <f t="shared" si="12"/>
        <v>하이클래스</v>
      </c>
      <c r="CF55" s="60" t="str">
        <f t="shared" si="37"/>
        <v>하이클래스</v>
      </c>
      <c r="CG55" s="60" t="b">
        <f t="shared" si="38"/>
        <v>1</v>
      </c>
      <c r="CH55" s="63" t="str">
        <f t="shared" si="15"/>
        <v>하이클래스</v>
      </c>
      <c r="CI55" s="64">
        <f t="shared" si="17"/>
        <v>720</v>
      </c>
      <c r="CJ55" s="63" t="s">
        <v>348</v>
      </c>
      <c r="CK55" s="71">
        <f>SUMIFS('컨텐츠별 매출 통계'!CV:CV,'컨텐츠별 매출 통계'!A:A,'작품별 집계'!A55,'컨텐츠별 매출 통계'!CF:CF,"2026-01")</f>
        <v>720</v>
      </c>
      <c r="CL55" s="70">
        <f t="shared" si="16"/>
        <v>0</v>
      </c>
    </row>
    <row r="56" spans="1:92">
      <c r="CN56"/>
    </row>
    <row r="57" spans="1:92">
      <c r="CN57"/>
    </row>
    <row r="58" spans="1:92">
      <c r="CN58"/>
    </row>
    <row r="59" spans="1:92">
      <c r="CN59"/>
    </row>
  </sheetData>
  <autoFilter ref="A6:CN55" xr:uid="{87825841-A318-40AE-AEC0-13F62C475221}"/>
  <mergeCells count="39">
    <mergeCell ref="E5:E6"/>
    <mergeCell ref="A3:D3"/>
    <mergeCell ref="A5:A6"/>
    <mergeCell ref="B5:B6"/>
    <mergeCell ref="C5:C6"/>
    <mergeCell ref="D5:D6"/>
    <mergeCell ref="AS5:AU5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BN5:BP5"/>
    <mergeCell ref="BR5:BR6"/>
    <mergeCell ref="BS5:BS6"/>
    <mergeCell ref="AV5:AX5"/>
    <mergeCell ref="AY5:BA5"/>
    <mergeCell ref="BB5:BD5"/>
    <mergeCell ref="BE5:BG5"/>
    <mergeCell ref="BH5:BJ5"/>
    <mergeCell ref="BK5:BM5"/>
    <mergeCell ref="BQ5:BQ6"/>
    <mergeCell ref="BZ5:BZ6"/>
    <mergeCell ref="CA5:CA6"/>
    <mergeCell ref="CB5:CB6"/>
    <mergeCell ref="CC5:CC6"/>
    <mergeCell ref="CD5:CD6"/>
    <mergeCell ref="BU5:BU6"/>
    <mergeCell ref="BT5:BT6"/>
    <mergeCell ref="BW5:BW6"/>
    <mergeCell ref="BX5:BX6"/>
    <mergeCell ref="BY5:BY6"/>
    <mergeCell ref="BV5:BV6"/>
  </mergeCells>
  <phoneticPr fontId="18" type="noConversion"/>
  <conditionalFormatting sqref="CG7:CG55">
    <cfRule type="containsText" dxfId="0" priority="1" operator="containsText" text="false">
      <formula>NOT(ISERROR(SEARCH("false",CG7)))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X57"/>
  <sheetViews>
    <sheetView showGridLines="0" zoomScale="90" zoomScaleNormal="90" workbookViewId="0">
      <pane ySplit="6" topLeftCell="A7" activePane="bottomLeft" state="frozen"/>
      <selection pane="bottomLeft" activeCell="BX17" sqref="BX17"/>
    </sheetView>
  </sheetViews>
  <sheetFormatPr defaultRowHeight="16.899999999999999" outlineLevelCol="1"/>
  <cols>
    <col min="1" max="1" width="29.625" style="1" customWidth="1"/>
    <col min="2" max="2" width="8.12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79" hidden="1" customWidth="1" outlineLevel="1"/>
    <col min="10" max="10" width="7.25" style="79" hidden="1" customWidth="1" outlineLevel="1"/>
    <col min="11" max="11" width="9" style="79" hidden="1" customWidth="1" outlineLevel="1"/>
    <col min="12" max="13" width="7.5" style="79" hidden="1" customWidth="1" outlineLevel="1"/>
    <col min="14" max="15" width="7.875" style="79" hidden="1" customWidth="1" outlineLevel="1"/>
    <col min="16" max="17" width="13.875" style="79" hidden="1" customWidth="1" outlineLevel="1"/>
    <col min="18" max="18" width="4.5" style="79" hidden="1" customWidth="1" outlineLevel="1"/>
    <col min="19" max="19" width="6" style="79" hidden="1" customWidth="1" outlineLevel="1"/>
    <col min="20" max="20" width="9" style="79" hidden="1" customWidth="1" outlineLevel="1"/>
    <col min="21" max="22" width="7.5" style="79" hidden="1" customWidth="1" outlineLevel="1"/>
    <col min="23" max="24" width="7.875" style="79" hidden="1" customWidth="1" outlineLevel="1"/>
    <col min="25" max="25" width="13.875" style="79" hidden="1" customWidth="1" outlineLevel="1"/>
    <col min="26" max="26" width="18.125" style="79" hidden="1" customWidth="1" outlineLevel="1"/>
    <col min="27" max="37" width="9.375" style="79" hidden="1" customWidth="1" outlineLevel="1"/>
    <col min="38" max="38" width="8" style="79" hidden="1" customWidth="1" outlineLevel="1"/>
    <col min="39" max="41" width="9.375" style="79" hidden="1" customWidth="1" outlineLevel="1"/>
    <col min="42" max="42" width="8" style="79" hidden="1" customWidth="1" outlineLevel="1"/>
    <col min="43" max="43" width="9.375" style="79" hidden="1" customWidth="1" outlineLevel="1"/>
    <col min="44" max="44" width="8" style="79" hidden="1" customWidth="1" outlineLevel="1"/>
    <col min="45" max="49" width="9.375" style="79" hidden="1" customWidth="1" outlineLevel="1"/>
    <col min="50" max="50" width="8" style="79" hidden="1" customWidth="1" outlineLevel="1"/>
    <col min="51" max="62" width="9.375" style="79" hidden="1" customWidth="1" outlineLevel="1"/>
    <col min="63" max="63" width="8" style="79" hidden="1" customWidth="1" outlineLevel="1"/>
    <col min="64" max="64" width="9.375" style="79" hidden="1" customWidth="1" outlineLevel="1"/>
    <col min="65" max="68" width="8" style="79" hidden="1" customWidth="1" outlineLevel="1"/>
    <col min="69" max="69" width="13.5" style="79" hidden="1" customWidth="1" outlineLevel="1"/>
    <col min="70" max="70" width="15" style="79" hidden="1" customWidth="1" outlineLevel="1"/>
    <col min="71" max="71" width="12.5" style="79" hidden="1" customWidth="1" outlineLevel="1"/>
    <col min="72" max="72" width="16.4375" style="1" bestFit="1" customWidth="1" collapsed="1"/>
    <col min="73" max="73" width="12.625" style="1" bestFit="1" customWidth="1"/>
    <col min="74" max="74" width="12.375" style="1" customWidth="1"/>
    <col min="75" max="75" width="12.625" style="1" bestFit="1" customWidth="1"/>
    <col min="76" max="76" width="17.25" style="1" bestFit="1" customWidth="1"/>
    <col min="77" max="77" width="9.625" style="1" customWidth="1"/>
    <col min="78" max="78" width="12.625" style="1" bestFit="1" customWidth="1"/>
    <col min="79" max="79" width="14" style="1" bestFit="1" customWidth="1"/>
    <col min="80" max="80" width="12.625" style="79" bestFit="1" customWidth="1"/>
    <col min="81" max="81" width="12.75" style="1" bestFit="1" customWidth="1"/>
    <col min="82" max="82" width="10" style="1" bestFit="1" customWidth="1"/>
    <col min="83" max="83" width="6.375" style="4" bestFit="1" customWidth="1"/>
    <col min="84" max="85" width="7.375" style="2" bestFit="1" customWidth="1"/>
    <col min="86" max="86" width="19" style="2" bestFit="1" customWidth="1"/>
    <col min="87" max="87" width="12.625" style="3" bestFit="1" customWidth="1"/>
    <col min="88" max="88" width="7.5" style="2" hidden="1" customWidth="1"/>
    <col min="89" max="89" width="12.625" style="2" hidden="1" customWidth="1"/>
    <col min="90" max="90" width="9" style="2"/>
    <col min="91" max="91" width="9" style="2" hidden="1" customWidth="1"/>
    <col min="92" max="92" width="12.625" style="3" bestFit="1" customWidth="1"/>
    <col min="93" max="93" width="5.875" style="2" bestFit="1" customWidth="1"/>
    <col min="94" max="94" width="12.625" style="3" bestFit="1" customWidth="1"/>
    <col min="95" max="95" width="1.625" style="1" customWidth="1"/>
    <col min="96" max="96" width="57" style="45" customWidth="1"/>
    <col min="97" max="97" width="12.375" style="45" customWidth="1"/>
    <col min="98" max="98" width="21.625" style="45" customWidth="1"/>
    <col min="99" max="99" width="15.125" style="1" bestFit="1" customWidth="1"/>
    <col min="100" max="100" width="12.625" style="1" bestFit="1" customWidth="1"/>
    <col min="101" max="102" width="9" style="46"/>
  </cols>
  <sheetData>
    <row r="1" spans="1:102">
      <c r="A1" s="8" t="s">
        <v>65</v>
      </c>
      <c r="CC1" s="79"/>
    </row>
    <row r="2" spans="1:102">
      <c r="A2" s="90" t="s">
        <v>396</v>
      </c>
    </row>
    <row r="3" spans="1:102" ht="19.5" customHeight="1">
      <c r="A3" s="105" t="s">
        <v>0</v>
      </c>
      <c r="B3" s="105"/>
      <c r="C3" s="105"/>
      <c r="D3" s="105"/>
      <c r="BT3" s="80">
        <f>SUBTOTAL(109,BT5:BT99448)</f>
        <v>3844320</v>
      </c>
      <c r="BU3" s="80">
        <f>SUBTOTAL(109,BU5:BU99448)</f>
        <v>207751870</v>
      </c>
      <c r="BV3" s="80">
        <f>SUBTOTAL(109,BV5:BV99448)</f>
        <v>282298800</v>
      </c>
      <c r="BW3" s="80">
        <f>SUBTOTAL(109,BW5:BW99448)</f>
        <v>153497045</v>
      </c>
      <c r="BX3" s="80">
        <f>SUBTOTAL(109,BX5:BX99448)</f>
        <v>216177240</v>
      </c>
      <c r="BY3" s="80">
        <f>SUBTOTAL(109,BY5:BY99448)</f>
        <v>1257400</v>
      </c>
      <c r="BZ3" s="80">
        <f>SUBTOTAL(109,BZ5:BZ99448)</f>
        <v>242120307</v>
      </c>
      <c r="CA3" s="80">
        <f>SUBTOTAL(109,CA5:CA99448)</f>
        <v>1106946982</v>
      </c>
      <c r="CB3" s="80">
        <f>SUBTOTAL(109,CB5:CB99448)</f>
        <v>116406739</v>
      </c>
      <c r="CC3" s="80">
        <f>SUBTOTAL(109,CC5:CC99448)</f>
        <v>990540243</v>
      </c>
      <c r="CI3" s="47">
        <f>SUBTOTAL(109,CI5:CI99448)</f>
        <v>594324147</v>
      </c>
      <c r="CJ3" s="47">
        <f>SUBTOTAL(109,CJ5:CJ99448)</f>
        <v>0</v>
      </c>
      <c r="CK3" s="47">
        <f>SUBTOTAL(109,CK5:CK99448)</f>
        <v>594324147</v>
      </c>
      <c r="CL3" s="47">
        <f>SUBTOTAL(109,CL5:CL99448)</f>
        <v>-1</v>
      </c>
      <c r="CM3" s="47">
        <f>SUBTOTAL(109,CM5:CM99448)</f>
        <v>0</v>
      </c>
      <c r="CN3" s="47">
        <f>SUBTOTAL(109,CN5:CN99448)</f>
        <v>594324146</v>
      </c>
      <c r="CO3" s="47">
        <f>SUBTOTAL(109,CO5:CO99448)</f>
        <v>0</v>
      </c>
      <c r="CP3" s="47">
        <f>SUBTOTAL(109,CP5:CP99448)</f>
        <v>594324146</v>
      </c>
      <c r="CV3" s="47">
        <f>SUBTOTAL(109,CV5:CV99448)</f>
        <v>594324146</v>
      </c>
    </row>
    <row r="4" spans="1:102">
      <c r="BT4" s="81"/>
      <c r="BU4" s="81"/>
      <c r="BV4" s="81"/>
      <c r="BW4" s="81"/>
      <c r="BX4" s="81"/>
      <c r="BY4" s="81"/>
      <c r="BZ4" s="81"/>
      <c r="CA4" s="81"/>
      <c r="CC4" s="82"/>
      <c r="CD4" s="82">
        <v>0.6</v>
      </c>
    </row>
    <row r="5" spans="1:102" ht="16.5" customHeight="1">
      <c r="A5" s="127" t="s">
        <v>1</v>
      </c>
      <c r="B5" s="127" t="s">
        <v>2</v>
      </c>
      <c r="C5" s="128" t="s">
        <v>3</v>
      </c>
      <c r="D5" s="127" t="s">
        <v>4</v>
      </c>
      <c r="E5" s="127" t="s">
        <v>5</v>
      </c>
      <c r="F5" s="127" t="s">
        <v>6</v>
      </c>
      <c r="G5" s="128" t="s">
        <v>7</v>
      </c>
      <c r="H5" s="128" t="s">
        <v>8</v>
      </c>
      <c r="I5" s="121" t="s">
        <v>9</v>
      </c>
      <c r="J5" s="121"/>
      <c r="K5" s="121"/>
      <c r="L5" s="121"/>
      <c r="M5" s="121"/>
      <c r="N5" s="121"/>
      <c r="O5" s="121"/>
      <c r="P5" s="121"/>
      <c r="Q5" s="121"/>
      <c r="R5" s="120" t="s">
        <v>10</v>
      </c>
      <c r="S5" s="120"/>
      <c r="T5" s="120"/>
      <c r="U5" s="120"/>
      <c r="V5" s="120"/>
      <c r="W5" s="120"/>
      <c r="X5" s="120"/>
      <c r="Y5" s="120"/>
      <c r="Z5" s="120"/>
      <c r="AA5" s="121" t="s">
        <v>11</v>
      </c>
      <c r="AB5" s="121"/>
      <c r="AC5" s="121"/>
      <c r="AD5" s="120" t="s">
        <v>12</v>
      </c>
      <c r="AE5" s="120"/>
      <c r="AF5" s="120"/>
      <c r="AG5" s="121" t="s">
        <v>13</v>
      </c>
      <c r="AH5" s="121"/>
      <c r="AI5" s="121"/>
      <c r="AJ5" s="120" t="s">
        <v>14</v>
      </c>
      <c r="AK5" s="120"/>
      <c r="AL5" s="120"/>
      <c r="AM5" s="121" t="s">
        <v>15</v>
      </c>
      <c r="AN5" s="121"/>
      <c r="AO5" s="121"/>
      <c r="AP5" s="120" t="s">
        <v>16</v>
      </c>
      <c r="AQ5" s="120"/>
      <c r="AR5" s="120"/>
      <c r="AS5" s="121" t="s">
        <v>17</v>
      </c>
      <c r="AT5" s="121"/>
      <c r="AU5" s="121"/>
      <c r="AV5" s="120" t="s">
        <v>18</v>
      </c>
      <c r="AW5" s="120"/>
      <c r="AX5" s="120"/>
      <c r="AY5" s="121" t="s">
        <v>19</v>
      </c>
      <c r="AZ5" s="121"/>
      <c r="BA5" s="121"/>
      <c r="BB5" s="120" t="s">
        <v>20</v>
      </c>
      <c r="BC5" s="120"/>
      <c r="BD5" s="120"/>
      <c r="BE5" s="121" t="s">
        <v>21</v>
      </c>
      <c r="BF5" s="121"/>
      <c r="BG5" s="121"/>
      <c r="BH5" s="120" t="s">
        <v>22</v>
      </c>
      <c r="BI5" s="120"/>
      <c r="BJ5" s="120"/>
      <c r="BK5" s="121" t="s">
        <v>23</v>
      </c>
      <c r="BL5" s="121"/>
      <c r="BM5" s="121"/>
      <c r="BN5" s="120" t="s">
        <v>24</v>
      </c>
      <c r="BO5" s="120"/>
      <c r="BP5" s="120"/>
      <c r="BQ5" s="119" t="s">
        <v>25</v>
      </c>
      <c r="BR5" s="119" t="s">
        <v>26</v>
      </c>
      <c r="BS5" s="119" t="s">
        <v>27</v>
      </c>
      <c r="BT5" s="109" t="s">
        <v>64</v>
      </c>
      <c r="BU5" s="109" t="s">
        <v>63</v>
      </c>
      <c r="BV5" s="109" t="s">
        <v>62</v>
      </c>
      <c r="BW5" s="109" t="s">
        <v>61</v>
      </c>
      <c r="BX5" s="109" t="s">
        <v>60</v>
      </c>
      <c r="BY5" s="109" t="s">
        <v>59</v>
      </c>
      <c r="BZ5" s="109" t="s">
        <v>58</v>
      </c>
      <c r="CA5" s="109" t="s">
        <v>57</v>
      </c>
      <c r="CB5" s="109" t="s">
        <v>56</v>
      </c>
      <c r="CC5" s="114" t="s">
        <v>42</v>
      </c>
      <c r="CD5" s="122" t="s">
        <v>55</v>
      </c>
      <c r="CF5" s="123" t="s">
        <v>54</v>
      </c>
      <c r="CG5" s="125" t="s">
        <v>53</v>
      </c>
      <c r="CH5" s="125" t="s">
        <v>52</v>
      </c>
      <c r="CI5" s="110" t="s">
        <v>51</v>
      </c>
      <c r="CJ5" s="110" t="s">
        <v>50</v>
      </c>
      <c r="CK5" s="110" t="s">
        <v>27</v>
      </c>
      <c r="CL5" s="112" t="s">
        <v>49</v>
      </c>
      <c r="CM5" s="117" t="s">
        <v>48</v>
      </c>
      <c r="CN5" s="106" t="s">
        <v>66</v>
      </c>
      <c r="CO5" s="115" t="s">
        <v>67</v>
      </c>
      <c r="CP5" s="106" t="s">
        <v>68</v>
      </c>
      <c r="CR5" s="108" t="s">
        <v>47</v>
      </c>
      <c r="CS5" s="108" t="s">
        <v>46</v>
      </c>
      <c r="CT5" s="108" t="s">
        <v>45</v>
      </c>
      <c r="CU5" s="108" t="s">
        <v>44</v>
      </c>
      <c r="CV5" s="108" t="s">
        <v>43</v>
      </c>
    </row>
    <row r="6" spans="1:102" ht="27" customHeight="1">
      <c r="A6" s="127"/>
      <c r="B6" s="127"/>
      <c r="C6" s="128"/>
      <c r="D6" s="127"/>
      <c r="E6" s="127"/>
      <c r="F6" s="127"/>
      <c r="G6" s="128"/>
      <c r="H6" s="128"/>
      <c r="I6" s="83" t="s">
        <v>28</v>
      </c>
      <c r="J6" s="83" t="s">
        <v>29</v>
      </c>
      <c r="K6" s="83" t="s">
        <v>30</v>
      </c>
      <c r="L6" s="83" t="s">
        <v>31</v>
      </c>
      <c r="M6" s="83" t="s">
        <v>32</v>
      </c>
      <c r="N6" s="83" t="s">
        <v>33</v>
      </c>
      <c r="O6" s="83" t="s">
        <v>34</v>
      </c>
      <c r="P6" s="83" t="s">
        <v>35</v>
      </c>
      <c r="Q6" s="83" t="s">
        <v>36</v>
      </c>
      <c r="R6" s="83" t="s">
        <v>28</v>
      </c>
      <c r="S6" s="83" t="s">
        <v>29</v>
      </c>
      <c r="T6" s="83" t="s">
        <v>30</v>
      </c>
      <c r="U6" s="83" t="s">
        <v>31</v>
      </c>
      <c r="V6" s="83" t="s">
        <v>32</v>
      </c>
      <c r="W6" s="83" t="s">
        <v>33</v>
      </c>
      <c r="X6" s="83" t="s">
        <v>34</v>
      </c>
      <c r="Y6" s="83" t="s">
        <v>35</v>
      </c>
      <c r="Z6" s="83" t="s">
        <v>36</v>
      </c>
      <c r="AA6" s="83" t="s">
        <v>28</v>
      </c>
      <c r="AB6" s="83" t="s">
        <v>37</v>
      </c>
      <c r="AC6" s="83" t="s">
        <v>38</v>
      </c>
      <c r="AD6" s="83" t="s">
        <v>28</v>
      </c>
      <c r="AE6" s="83" t="s">
        <v>37</v>
      </c>
      <c r="AF6" s="83" t="s">
        <v>38</v>
      </c>
      <c r="AG6" s="83" t="s">
        <v>28</v>
      </c>
      <c r="AH6" s="83" t="s">
        <v>37</v>
      </c>
      <c r="AI6" s="83" t="s">
        <v>38</v>
      </c>
      <c r="AJ6" s="83" t="s">
        <v>28</v>
      </c>
      <c r="AK6" s="83" t="s">
        <v>37</v>
      </c>
      <c r="AL6" s="83" t="s">
        <v>38</v>
      </c>
      <c r="AM6" s="83" t="s">
        <v>28</v>
      </c>
      <c r="AN6" s="83" t="s">
        <v>37</v>
      </c>
      <c r="AO6" s="83" t="s">
        <v>38</v>
      </c>
      <c r="AP6" s="83" t="s">
        <v>28</v>
      </c>
      <c r="AQ6" s="83" t="s">
        <v>37</v>
      </c>
      <c r="AR6" s="83" t="s">
        <v>38</v>
      </c>
      <c r="AS6" s="83" t="s">
        <v>28</v>
      </c>
      <c r="AT6" s="83" t="s">
        <v>37</v>
      </c>
      <c r="AU6" s="83" t="s">
        <v>38</v>
      </c>
      <c r="AV6" s="83" t="s">
        <v>28</v>
      </c>
      <c r="AW6" s="83" t="s">
        <v>37</v>
      </c>
      <c r="AX6" s="83" t="s">
        <v>38</v>
      </c>
      <c r="AY6" s="83" t="s">
        <v>28</v>
      </c>
      <c r="AZ6" s="83" t="s">
        <v>37</v>
      </c>
      <c r="BA6" s="83" t="s">
        <v>38</v>
      </c>
      <c r="BB6" s="83" t="s">
        <v>28</v>
      </c>
      <c r="BC6" s="83" t="s">
        <v>37</v>
      </c>
      <c r="BD6" s="83" t="s">
        <v>38</v>
      </c>
      <c r="BE6" s="83" t="s">
        <v>28</v>
      </c>
      <c r="BF6" s="83" t="s">
        <v>37</v>
      </c>
      <c r="BG6" s="83" t="s">
        <v>38</v>
      </c>
      <c r="BH6" s="83" t="s">
        <v>28</v>
      </c>
      <c r="BI6" s="83" t="s">
        <v>37</v>
      </c>
      <c r="BJ6" s="83" t="s">
        <v>38</v>
      </c>
      <c r="BK6" s="83" t="s">
        <v>28</v>
      </c>
      <c r="BL6" s="83" t="s">
        <v>37</v>
      </c>
      <c r="BM6" s="83" t="s">
        <v>38</v>
      </c>
      <c r="BN6" s="83" t="s">
        <v>28</v>
      </c>
      <c r="BO6" s="83" t="s">
        <v>37</v>
      </c>
      <c r="BP6" s="83" t="s">
        <v>38</v>
      </c>
      <c r="BQ6" s="119"/>
      <c r="BR6" s="119"/>
      <c r="BS6" s="119"/>
      <c r="BT6" s="109"/>
      <c r="BU6" s="109"/>
      <c r="BV6" s="109"/>
      <c r="BW6" s="109"/>
      <c r="BX6" s="109"/>
      <c r="BY6" s="109"/>
      <c r="BZ6" s="109"/>
      <c r="CA6" s="109"/>
      <c r="CB6" s="109"/>
      <c r="CC6" s="114" t="s">
        <v>42</v>
      </c>
      <c r="CD6" s="107"/>
      <c r="CF6" s="124"/>
      <c r="CG6" s="126"/>
      <c r="CH6" s="126"/>
      <c r="CI6" s="111"/>
      <c r="CJ6" s="111"/>
      <c r="CK6" s="111"/>
      <c r="CL6" s="113"/>
      <c r="CM6" s="118"/>
      <c r="CN6" s="107"/>
      <c r="CO6" s="116"/>
      <c r="CP6" s="107"/>
      <c r="CR6" s="108"/>
      <c r="CS6" s="108"/>
      <c r="CT6" s="108"/>
      <c r="CU6" s="108"/>
      <c r="CV6" s="108"/>
    </row>
    <row r="7" spans="1:102">
      <c r="A7" s="136" t="s">
        <v>125</v>
      </c>
      <c r="B7" s="130">
        <v>499884</v>
      </c>
      <c r="C7" s="131"/>
      <c r="D7" s="130" t="s">
        <v>385</v>
      </c>
      <c r="E7" s="130" t="s">
        <v>171</v>
      </c>
      <c r="F7" s="130" t="s">
        <v>171</v>
      </c>
      <c r="G7" s="132" t="s">
        <v>166</v>
      </c>
      <c r="H7" s="132" t="s">
        <v>397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0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</v>
      </c>
      <c r="X7" s="132">
        <v>0</v>
      </c>
      <c r="Y7" s="132">
        <v>0</v>
      </c>
      <c r="Z7" s="132">
        <v>0</v>
      </c>
      <c r="AA7" s="133">
        <v>306206</v>
      </c>
      <c r="AB7" s="133">
        <v>32163360</v>
      </c>
      <c r="AC7" s="133">
        <v>25449894</v>
      </c>
      <c r="AD7" s="133">
        <v>17047</v>
      </c>
      <c r="AE7" s="133">
        <v>3465140</v>
      </c>
      <c r="AF7" s="133">
        <v>3177395</v>
      </c>
      <c r="AG7" s="133">
        <v>211021</v>
      </c>
      <c r="AH7" s="133">
        <v>43733023</v>
      </c>
      <c r="AI7" s="133">
        <v>5223700</v>
      </c>
      <c r="AJ7" s="133">
        <v>4753</v>
      </c>
      <c r="AK7" s="133">
        <v>1800199</v>
      </c>
      <c r="AL7" s="133">
        <v>376800</v>
      </c>
      <c r="AM7" s="133">
        <v>39091</v>
      </c>
      <c r="AN7" s="133">
        <v>7579100</v>
      </c>
      <c r="AO7" s="133">
        <v>194500</v>
      </c>
      <c r="AP7" s="133">
        <v>3431</v>
      </c>
      <c r="AQ7" s="133">
        <v>1346600</v>
      </c>
      <c r="AR7" s="133">
        <v>31200</v>
      </c>
      <c r="AS7" s="133">
        <v>78486</v>
      </c>
      <c r="AT7" s="133">
        <v>18411317</v>
      </c>
      <c r="AU7" s="133">
        <v>51400</v>
      </c>
      <c r="AV7" s="133">
        <v>3563</v>
      </c>
      <c r="AW7" s="133">
        <v>1776494</v>
      </c>
      <c r="AX7" s="133">
        <v>5900</v>
      </c>
      <c r="AY7" s="133">
        <v>124294</v>
      </c>
      <c r="AZ7" s="133">
        <v>29284680</v>
      </c>
      <c r="BA7" s="133">
        <v>73800</v>
      </c>
      <c r="BB7" s="133">
        <v>4917</v>
      </c>
      <c r="BC7" s="133">
        <v>2361600</v>
      </c>
      <c r="BD7" s="133">
        <v>10000</v>
      </c>
      <c r="BE7" s="132">
        <v>372</v>
      </c>
      <c r="BF7" s="133">
        <v>87720</v>
      </c>
      <c r="BG7" s="132">
        <v>200</v>
      </c>
      <c r="BH7" s="132">
        <v>52</v>
      </c>
      <c r="BI7" s="133">
        <v>23040</v>
      </c>
      <c r="BJ7" s="132">
        <v>0</v>
      </c>
      <c r="BK7" s="132">
        <v>416</v>
      </c>
      <c r="BL7" s="133">
        <v>81800</v>
      </c>
      <c r="BM7" s="132">
        <v>0</v>
      </c>
      <c r="BN7" s="132">
        <v>61</v>
      </c>
      <c r="BO7" s="133">
        <v>23900</v>
      </c>
      <c r="BP7" s="132">
        <v>0</v>
      </c>
      <c r="BQ7" s="132">
        <v>601</v>
      </c>
      <c r="BR7" s="134">
        <v>19888236.699999999</v>
      </c>
      <c r="BS7" s="135">
        <v>176732762</v>
      </c>
      <c r="BT7" s="84">
        <f t="shared" ref="BT7:BT55" si="0">BF7+BI7</f>
        <v>110760</v>
      </c>
      <c r="BU7" s="84">
        <f t="shared" ref="BU7:BU55" si="1">AC7+AF7+AI7+AL7+AO7+AR7+AU7+AX7+BA7+BD7+BG7+BJ7+BM7+BP7+K7</f>
        <v>34594789</v>
      </c>
      <c r="BV7" s="84">
        <f t="shared" ref="BV7:BV55" si="2">AQ7+AN7+AB7+AE7</f>
        <v>44554200</v>
      </c>
      <c r="BW7" s="84">
        <f t="shared" ref="BW7:BW55" si="3">AT7+AW7</f>
        <v>20187811</v>
      </c>
      <c r="BX7" s="84">
        <f t="shared" ref="BX7:BX55" si="4">BC7+AZ7</f>
        <v>31646280</v>
      </c>
      <c r="BY7" s="84">
        <f t="shared" ref="BY7:BY55" si="5">BL7+BO7</f>
        <v>105700</v>
      </c>
      <c r="BZ7" s="84">
        <f t="shared" ref="BZ7:BZ55" si="6">AH7+AK7</f>
        <v>45533222</v>
      </c>
      <c r="CA7" s="84">
        <f t="shared" ref="CA7:CA55" si="7">SUM(BT7:BZ7)</f>
        <v>176732762</v>
      </c>
      <c r="CB7" s="84">
        <f t="shared" ref="CB7:CB55" si="8">ROUND(BR7,0)</f>
        <v>19888237</v>
      </c>
      <c r="CC7" s="84">
        <f t="shared" ref="CC7:CC55" si="9">CA7-CB7</f>
        <v>156844525</v>
      </c>
      <c r="CD7" s="85">
        <f t="shared" ref="CD7:CD55" si="10">ROUND(CC7*$CD$4,0)</f>
        <v>94106715</v>
      </c>
      <c r="CF7" s="6" t="s">
        <v>405</v>
      </c>
      <c r="CG7" s="6" t="str">
        <f t="shared" ref="CG7:CG55" si="11">CF7</f>
        <v>2026-01</v>
      </c>
      <c r="CH7" s="5" t="str">
        <f>_xlfn.XLOOKUP('컨텐츠별 매출 통계'!A7,KEY!$C$3:$C$1000,KEY!$B$3:$B$1000)</f>
        <v>캐슬2</v>
      </c>
      <c r="CI7" s="5">
        <f t="shared" ref="CI7:CI55" si="12">CD7</f>
        <v>94106715</v>
      </c>
      <c r="CJ7" s="5">
        <v>0</v>
      </c>
      <c r="CK7" s="5">
        <f t="shared" ref="CK7:CK55" si="13">CI7+CJ7</f>
        <v>94106715</v>
      </c>
      <c r="CL7" s="5">
        <v>-1</v>
      </c>
      <c r="CM7" s="5"/>
      <c r="CN7" s="5">
        <f t="shared" ref="CN7:CN55" si="14">CI7+CL7</f>
        <v>94106714</v>
      </c>
      <c r="CO7" s="5">
        <f t="shared" ref="CO7:CO55" si="15">CJ7+CM7</f>
        <v>0</v>
      </c>
      <c r="CP7" s="5">
        <f t="shared" ref="CP7:CP55" si="16">CN7+CO7</f>
        <v>94106714</v>
      </c>
      <c r="CR7" s="45" t="str">
        <f t="shared" ref="CR7:CR55" si="17">CF7&amp;"월 국내유상이용권 브랜드정산_웹툰&lt;"&amp;CH7&amp;"&gt;"</f>
        <v>2026-01월 국내유상이용권 브랜드정산_웹툰&lt;캐슬2&gt;</v>
      </c>
      <c r="CS7" s="45" t="str">
        <f>_xlfn.XLOOKUP(CH7,KEY!$B$3:$B$1000,KEY!$E$3:$E$1000)</f>
        <v>팀 MAJOR_메이저</v>
      </c>
      <c r="CT7" s="45" t="str">
        <f>_xlfn.XLOOKUP(CH7,KEY!$B$3:$B$1000,KEY!$F$3:$F$1000)</f>
        <v>캐슬2:만인지상</v>
      </c>
      <c r="CU7" s="2" t="s">
        <v>41</v>
      </c>
      <c r="CV7" s="33">
        <f t="shared" ref="CV7:CV55" si="18">CN7</f>
        <v>94106714</v>
      </c>
      <c r="CW7" s="46" t="str">
        <f>_xlfn.XLOOKUP(CS7,KEY!E:E,KEY!G:G)</f>
        <v>W1700</v>
      </c>
      <c r="CX7" s="46" t="str">
        <f>_xlfn.XLOOKUP(CT7,KEY!F:F,KEY!H:H)</f>
        <v>PN019</v>
      </c>
    </row>
    <row r="8" spans="1:102">
      <c r="A8" s="136" t="s">
        <v>152</v>
      </c>
      <c r="B8" s="130">
        <v>591197</v>
      </c>
      <c r="C8" s="131"/>
      <c r="D8" s="130" t="s">
        <v>385</v>
      </c>
      <c r="E8" s="130" t="s">
        <v>168</v>
      </c>
      <c r="F8" s="130" t="s">
        <v>169</v>
      </c>
      <c r="G8" s="132" t="s">
        <v>170</v>
      </c>
      <c r="H8" s="132" t="s">
        <v>398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Z8" s="132">
        <v>0</v>
      </c>
      <c r="AA8" s="133">
        <v>194957</v>
      </c>
      <c r="AB8" s="133">
        <v>22728720</v>
      </c>
      <c r="AC8" s="133">
        <v>32372151</v>
      </c>
      <c r="AD8" s="133">
        <v>9185</v>
      </c>
      <c r="AE8" s="133">
        <v>1544500</v>
      </c>
      <c r="AF8" s="133">
        <v>2824340</v>
      </c>
      <c r="AG8" s="133">
        <v>102128</v>
      </c>
      <c r="AH8" s="133">
        <v>24081739</v>
      </c>
      <c r="AI8" s="133">
        <v>9995000</v>
      </c>
      <c r="AJ8" s="133">
        <v>2820</v>
      </c>
      <c r="AK8" s="133">
        <v>822738</v>
      </c>
      <c r="AL8" s="133">
        <v>681400</v>
      </c>
      <c r="AM8" s="133">
        <v>12552</v>
      </c>
      <c r="AN8" s="133">
        <v>3639300</v>
      </c>
      <c r="AO8" s="133">
        <v>79000</v>
      </c>
      <c r="AP8" s="133">
        <v>1463</v>
      </c>
      <c r="AQ8" s="133">
        <v>687600</v>
      </c>
      <c r="AR8" s="133">
        <v>24400</v>
      </c>
      <c r="AS8" s="133">
        <v>25467</v>
      </c>
      <c r="AT8" s="133">
        <v>8949288</v>
      </c>
      <c r="AU8" s="133">
        <v>12300</v>
      </c>
      <c r="AV8" s="132">
        <v>981</v>
      </c>
      <c r="AW8" s="133">
        <v>577633</v>
      </c>
      <c r="AX8" s="133">
        <v>3300</v>
      </c>
      <c r="AY8" s="133">
        <v>69158</v>
      </c>
      <c r="AZ8" s="133">
        <v>24264600</v>
      </c>
      <c r="BA8" s="133">
        <v>45200</v>
      </c>
      <c r="BB8" s="133">
        <v>2339</v>
      </c>
      <c r="BC8" s="133">
        <v>1368600</v>
      </c>
      <c r="BD8" s="133">
        <v>7400</v>
      </c>
      <c r="BE8" s="133">
        <v>3655</v>
      </c>
      <c r="BF8" s="133">
        <v>1276080</v>
      </c>
      <c r="BG8" s="133">
        <v>3400</v>
      </c>
      <c r="BH8" s="133">
        <v>1006</v>
      </c>
      <c r="BI8" s="133">
        <v>579600</v>
      </c>
      <c r="BJ8" s="133">
        <v>3900</v>
      </c>
      <c r="BK8" s="132">
        <v>525</v>
      </c>
      <c r="BL8" s="133">
        <v>154000</v>
      </c>
      <c r="BM8" s="132">
        <v>0</v>
      </c>
      <c r="BN8" s="132">
        <v>38</v>
      </c>
      <c r="BO8" s="133">
        <v>16800</v>
      </c>
      <c r="BP8" s="132">
        <v>0</v>
      </c>
      <c r="BQ8" s="132">
        <v>48</v>
      </c>
      <c r="BR8" s="134">
        <v>11763099.800000001</v>
      </c>
      <c r="BS8" s="135">
        <v>136742989</v>
      </c>
      <c r="BT8" s="84">
        <f t="shared" si="0"/>
        <v>1855680</v>
      </c>
      <c r="BU8" s="84">
        <f t="shared" si="1"/>
        <v>46051791</v>
      </c>
      <c r="BV8" s="84">
        <f t="shared" si="2"/>
        <v>28600120</v>
      </c>
      <c r="BW8" s="84">
        <f t="shared" si="3"/>
        <v>9526921</v>
      </c>
      <c r="BX8" s="84">
        <f t="shared" si="4"/>
        <v>25633200</v>
      </c>
      <c r="BY8" s="84">
        <f t="shared" si="5"/>
        <v>170800</v>
      </c>
      <c r="BZ8" s="84">
        <f t="shared" si="6"/>
        <v>24904477</v>
      </c>
      <c r="CA8" s="84">
        <f t="shared" si="7"/>
        <v>136742989</v>
      </c>
      <c r="CB8" s="84">
        <f t="shared" si="8"/>
        <v>11763100</v>
      </c>
      <c r="CC8" s="84">
        <f t="shared" si="9"/>
        <v>124979889</v>
      </c>
      <c r="CD8" s="85">
        <f t="shared" si="10"/>
        <v>74987933</v>
      </c>
      <c r="CF8" s="6" t="s">
        <v>405</v>
      </c>
      <c r="CG8" s="6" t="str">
        <f t="shared" si="11"/>
        <v>2026-01</v>
      </c>
      <c r="CH8" s="5" t="str">
        <f>_xlfn.XLOOKUP('컨텐츠별 매출 통계'!A8,KEY!$C$3:$C$1000,KEY!$B$3:$B$1000)</f>
        <v>개짓</v>
      </c>
      <c r="CI8" s="5">
        <f t="shared" si="12"/>
        <v>74987933</v>
      </c>
      <c r="CJ8" s="5">
        <v>0</v>
      </c>
      <c r="CK8" s="5">
        <f t="shared" si="13"/>
        <v>74987933</v>
      </c>
      <c r="CL8" s="5"/>
      <c r="CM8" s="5"/>
      <c r="CN8" s="5">
        <f t="shared" si="14"/>
        <v>74987933</v>
      </c>
      <c r="CO8" s="5">
        <f t="shared" si="15"/>
        <v>0</v>
      </c>
      <c r="CP8" s="5">
        <f t="shared" si="16"/>
        <v>74987933</v>
      </c>
      <c r="CR8" s="45" t="str">
        <f t="shared" si="17"/>
        <v>2026-01월 국내유상이용권 브랜드정산_웹툰&lt;개짓&gt;</v>
      </c>
      <c r="CS8" s="45" t="str">
        <f>_xlfn.XLOOKUP(CH8,KEY!$B$3:$B$1000,KEY!$E$3:$E$1000)</f>
        <v>제작팀</v>
      </c>
      <c r="CT8" s="45" t="str">
        <f>_xlfn.XLOOKUP(CH8,KEY!$B$3:$B$1000,KEY!$F$3:$F$1000)</f>
        <v>개짓</v>
      </c>
      <c r="CU8" s="2" t="s">
        <v>41</v>
      </c>
      <c r="CV8" s="33">
        <f t="shared" si="18"/>
        <v>74987933</v>
      </c>
      <c r="CW8" s="46" t="str">
        <f>_xlfn.XLOOKUP(CS8,KEY!E:E,KEY!G:G)</f>
        <v>W1102</v>
      </c>
      <c r="CX8" s="46" t="str">
        <f>_xlfn.XLOOKUP(CT8,KEY!F:F,KEY!H:H)</f>
        <v>PN034</v>
      </c>
    </row>
    <row r="9" spans="1:102">
      <c r="A9" s="136" t="s">
        <v>104</v>
      </c>
      <c r="B9" s="130">
        <v>450111</v>
      </c>
      <c r="C9" s="131"/>
      <c r="D9" s="130" t="s">
        <v>385</v>
      </c>
      <c r="E9" s="130" t="s">
        <v>164</v>
      </c>
      <c r="F9" s="130" t="s">
        <v>165</v>
      </c>
      <c r="G9" s="132" t="s">
        <v>166</v>
      </c>
      <c r="H9" s="132" t="s">
        <v>399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Z9" s="132">
        <v>0</v>
      </c>
      <c r="AA9" s="133">
        <v>145624</v>
      </c>
      <c r="AB9" s="133">
        <v>26786900</v>
      </c>
      <c r="AC9" s="133">
        <v>14597645</v>
      </c>
      <c r="AD9" s="133">
        <v>1163</v>
      </c>
      <c r="AE9" s="133">
        <v>404700</v>
      </c>
      <c r="AF9" s="133">
        <v>222595</v>
      </c>
      <c r="AG9" s="133">
        <v>99665</v>
      </c>
      <c r="AH9" s="133">
        <v>32538269</v>
      </c>
      <c r="AI9" s="133">
        <v>2524900</v>
      </c>
      <c r="AJ9" s="132">
        <v>264</v>
      </c>
      <c r="AK9" s="133">
        <v>134870</v>
      </c>
      <c r="AL9" s="133">
        <v>17500</v>
      </c>
      <c r="AM9" s="133">
        <v>28457</v>
      </c>
      <c r="AN9" s="133">
        <v>8306200</v>
      </c>
      <c r="AO9" s="133">
        <v>184900</v>
      </c>
      <c r="AP9" s="132">
        <v>454</v>
      </c>
      <c r="AQ9" s="133">
        <v>225300</v>
      </c>
      <c r="AR9" s="133">
        <v>8000</v>
      </c>
      <c r="AS9" s="133">
        <v>66618</v>
      </c>
      <c r="AT9" s="133">
        <v>23429770</v>
      </c>
      <c r="AU9" s="133">
        <v>66400</v>
      </c>
      <c r="AV9" s="132">
        <v>402</v>
      </c>
      <c r="AW9" s="133">
        <v>245363</v>
      </c>
      <c r="AX9" s="132">
        <v>100</v>
      </c>
      <c r="AY9" s="133">
        <v>68566</v>
      </c>
      <c r="AZ9" s="133">
        <v>24232560</v>
      </c>
      <c r="BA9" s="133">
        <v>69300</v>
      </c>
      <c r="BB9" s="132">
        <v>416</v>
      </c>
      <c r="BC9" s="133">
        <v>253320</v>
      </c>
      <c r="BD9" s="133">
        <v>1400</v>
      </c>
      <c r="BE9" s="132">
        <v>283</v>
      </c>
      <c r="BF9" s="133">
        <v>97800</v>
      </c>
      <c r="BG9" s="132">
        <v>600</v>
      </c>
      <c r="BH9" s="132">
        <v>28</v>
      </c>
      <c r="BI9" s="133">
        <v>15960</v>
      </c>
      <c r="BJ9" s="132">
        <v>500</v>
      </c>
      <c r="BK9" s="132">
        <v>408</v>
      </c>
      <c r="BL9" s="133">
        <v>119300</v>
      </c>
      <c r="BM9" s="132">
        <v>0</v>
      </c>
      <c r="BN9" s="132">
        <v>5</v>
      </c>
      <c r="BO9" s="133">
        <v>2200</v>
      </c>
      <c r="BP9" s="132">
        <v>0</v>
      </c>
      <c r="BQ9" s="132">
        <v>423</v>
      </c>
      <c r="BR9" s="134">
        <v>15472190.300000001</v>
      </c>
      <c r="BS9" s="135">
        <v>134486352</v>
      </c>
      <c r="BT9" s="84">
        <f t="shared" si="0"/>
        <v>113760</v>
      </c>
      <c r="BU9" s="84">
        <f t="shared" si="1"/>
        <v>17693840</v>
      </c>
      <c r="BV9" s="84">
        <f t="shared" si="2"/>
        <v>35723100</v>
      </c>
      <c r="BW9" s="84">
        <f t="shared" si="3"/>
        <v>23675133</v>
      </c>
      <c r="BX9" s="84">
        <f t="shared" si="4"/>
        <v>24485880</v>
      </c>
      <c r="BY9" s="84">
        <f t="shared" si="5"/>
        <v>121500</v>
      </c>
      <c r="BZ9" s="84">
        <f t="shared" si="6"/>
        <v>32673139</v>
      </c>
      <c r="CA9" s="84">
        <f t="shared" si="7"/>
        <v>134486352</v>
      </c>
      <c r="CB9" s="84">
        <f t="shared" si="8"/>
        <v>15472190</v>
      </c>
      <c r="CC9" s="84">
        <f t="shared" si="9"/>
        <v>119014162</v>
      </c>
      <c r="CD9" s="85">
        <f t="shared" si="10"/>
        <v>71408497</v>
      </c>
      <c r="CF9" s="6" t="s">
        <v>405</v>
      </c>
      <c r="CG9" s="6" t="str">
        <f t="shared" si="11"/>
        <v>2026-01</v>
      </c>
      <c r="CH9" s="5" t="str">
        <f>_xlfn.XLOOKUP('컨텐츠별 매출 통계'!A9,KEY!$C$3:$C$1000,KEY!$B$3:$B$1000)</f>
        <v>김부장</v>
      </c>
      <c r="CI9" s="5">
        <f t="shared" si="12"/>
        <v>71408497</v>
      </c>
      <c r="CJ9" s="5">
        <v>0</v>
      </c>
      <c r="CK9" s="5">
        <f t="shared" si="13"/>
        <v>71408497</v>
      </c>
      <c r="CL9" s="5"/>
      <c r="CM9" s="5"/>
      <c r="CN9" s="5">
        <f t="shared" si="14"/>
        <v>71408497</v>
      </c>
      <c r="CO9" s="5">
        <f t="shared" si="15"/>
        <v>0</v>
      </c>
      <c r="CP9" s="5">
        <f t="shared" si="16"/>
        <v>71408497</v>
      </c>
      <c r="CR9" s="45" t="str">
        <f t="shared" si="17"/>
        <v>2026-01월 국내유상이용권 브랜드정산_웹툰&lt;김부장&gt;</v>
      </c>
      <c r="CS9" s="45" t="str">
        <f>_xlfn.XLOOKUP(CH9,KEY!$B$3:$B$1000,KEY!$E$3:$E$1000)</f>
        <v>팀 박태준_공통</v>
      </c>
      <c r="CT9" s="45" t="str">
        <f>_xlfn.XLOOKUP(CH9,KEY!$B$3:$B$1000,KEY!$F$3:$F$1000)</f>
        <v>김부장</v>
      </c>
      <c r="CU9" s="2" t="s">
        <v>41</v>
      </c>
      <c r="CV9" s="33">
        <f t="shared" si="18"/>
        <v>71408497</v>
      </c>
      <c r="CW9" s="46" t="str">
        <f>_xlfn.XLOOKUP(CS9,KEY!E:E,KEY!G:G)</f>
        <v>W1199</v>
      </c>
      <c r="CX9" s="46" t="str">
        <f>_xlfn.XLOOKUP(CT9,KEY!F:F,KEY!H:H)</f>
        <v>PN004</v>
      </c>
    </row>
    <row r="10" spans="1:102">
      <c r="A10" s="136" t="s">
        <v>381</v>
      </c>
      <c r="B10" s="130">
        <v>666996</v>
      </c>
      <c r="C10" s="131"/>
      <c r="D10" s="130" t="s">
        <v>385</v>
      </c>
      <c r="E10" s="130" t="s">
        <v>169</v>
      </c>
      <c r="F10" s="130" t="s">
        <v>169</v>
      </c>
      <c r="G10" s="132" t="s">
        <v>170</v>
      </c>
      <c r="H10" s="132" t="s">
        <v>400</v>
      </c>
      <c r="I10" s="132">
        <v>15</v>
      </c>
      <c r="J10" s="133">
        <v>848574</v>
      </c>
      <c r="K10" s="133">
        <v>4500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Z10" s="132">
        <v>0</v>
      </c>
      <c r="AA10" s="133">
        <v>140378</v>
      </c>
      <c r="AB10" s="133">
        <v>15196760</v>
      </c>
      <c r="AC10" s="133">
        <v>24742409</v>
      </c>
      <c r="AD10" s="133">
        <v>2176</v>
      </c>
      <c r="AE10" s="133">
        <v>469000</v>
      </c>
      <c r="AF10" s="133">
        <v>595295</v>
      </c>
      <c r="AG10" s="133">
        <v>73479</v>
      </c>
      <c r="AH10" s="133">
        <v>18403607</v>
      </c>
      <c r="AI10" s="133">
        <v>6468700</v>
      </c>
      <c r="AJ10" s="132">
        <v>702</v>
      </c>
      <c r="AK10" s="133">
        <v>299995</v>
      </c>
      <c r="AL10" s="133">
        <v>93200</v>
      </c>
      <c r="AM10" s="133">
        <v>11663</v>
      </c>
      <c r="AN10" s="133">
        <v>3394000</v>
      </c>
      <c r="AO10" s="133">
        <v>70800</v>
      </c>
      <c r="AP10" s="132">
        <v>627</v>
      </c>
      <c r="AQ10" s="133">
        <v>308400</v>
      </c>
      <c r="AR10" s="133">
        <v>9400</v>
      </c>
      <c r="AS10" s="133">
        <v>27788</v>
      </c>
      <c r="AT10" s="133">
        <v>9821041</v>
      </c>
      <c r="AU10" s="133">
        <v>33800</v>
      </c>
      <c r="AV10" s="132">
        <v>418</v>
      </c>
      <c r="AW10" s="133">
        <v>245155</v>
      </c>
      <c r="AX10" s="133">
        <v>3000</v>
      </c>
      <c r="AY10" s="133">
        <v>81356</v>
      </c>
      <c r="AZ10" s="133">
        <v>28702560</v>
      </c>
      <c r="BA10" s="133">
        <v>104500</v>
      </c>
      <c r="BB10" s="132">
        <v>901</v>
      </c>
      <c r="BC10" s="133">
        <v>536040</v>
      </c>
      <c r="BD10" s="133">
        <v>4600</v>
      </c>
      <c r="BE10" s="133">
        <v>2612</v>
      </c>
      <c r="BF10" s="133">
        <v>912360</v>
      </c>
      <c r="BG10" s="133">
        <v>4300</v>
      </c>
      <c r="BH10" s="132">
        <v>517</v>
      </c>
      <c r="BI10" s="133">
        <v>302400</v>
      </c>
      <c r="BJ10" s="133">
        <v>1700</v>
      </c>
      <c r="BK10" s="132">
        <v>489</v>
      </c>
      <c r="BL10" s="133">
        <v>143100</v>
      </c>
      <c r="BM10" s="132">
        <v>0</v>
      </c>
      <c r="BN10" s="132">
        <v>5</v>
      </c>
      <c r="BO10" s="133">
        <v>2000</v>
      </c>
      <c r="BP10" s="132">
        <v>0</v>
      </c>
      <c r="BQ10" s="132">
        <v>129</v>
      </c>
      <c r="BR10" s="134">
        <v>9949160.9000000004</v>
      </c>
      <c r="BS10" s="135">
        <v>110872622</v>
      </c>
      <c r="BT10" s="84">
        <f t="shared" si="0"/>
        <v>1214760</v>
      </c>
      <c r="BU10" s="84">
        <f t="shared" si="1"/>
        <v>32136204</v>
      </c>
      <c r="BV10" s="84">
        <f t="shared" si="2"/>
        <v>19368160</v>
      </c>
      <c r="BW10" s="84">
        <f t="shared" si="3"/>
        <v>10066196</v>
      </c>
      <c r="BX10" s="84">
        <f t="shared" si="4"/>
        <v>29238600</v>
      </c>
      <c r="BY10" s="84">
        <f t="shared" si="5"/>
        <v>145100</v>
      </c>
      <c r="BZ10" s="84">
        <f t="shared" si="6"/>
        <v>18703602</v>
      </c>
      <c r="CA10" s="84">
        <f t="shared" si="7"/>
        <v>110872622</v>
      </c>
      <c r="CB10" s="84">
        <f t="shared" si="8"/>
        <v>9949161</v>
      </c>
      <c r="CC10" s="84">
        <f t="shared" si="9"/>
        <v>100923461</v>
      </c>
      <c r="CD10" s="85">
        <f t="shared" si="10"/>
        <v>60554077</v>
      </c>
      <c r="CF10" s="6" t="s">
        <v>405</v>
      </c>
      <c r="CG10" s="6" t="str">
        <f t="shared" si="11"/>
        <v>2026-01</v>
      </c>
      <c r="CH10" s="5" t="str">
        <f>_xlfn.XLOOKUP('컨텐츠별 매출 통계'!A10,KEY!$C$3:$C$1000,KEY!$B$3:$B$1000)</f>
        <v>밤친구</v>
      </c>
      <c r="CI10" s="5">
        <f t="shared" si="12"/>
        <v>60554077</v>
      </c>
      <c r="CJ10" s="5">
        <v>0</v>
      </c>
      <c r="CK10" s="5">
        <f t="shared" si="13"/>
        <v>60554077</v>
      </c>
      <c r="CL10" s="5"/>
      <c r="CM10" s="5"/>
      <c r="CN10" s="5">
        <f t="shared" si="14"/>
        <v>60554077</v>
      </c>
      <c r="CO10" s="5">
        <f t="shared" si="15"/>
        <v>0</v>
      </c>
      <c r="CP10" s="5">
        <f t="shared" si="16"/>
        <v>60554077</v>
      </c>
      <c r="CR10" s="45" t="str">
        <f t="shared" si="17"/>
        <v>2026-01월 국내유상이용권 브랜드정산_웹툰&lt;밤친구&gt;</v>
      </c>
      <c r="CS10" s="45" t="str">
        <f>_xlfn.XLOOKUP(CH10,KEY!$B$3:$B$1000,KEY!$E$3:$E$1000)</f>
        <v>팀 MUTE_뮤트</v>
      </c>
      <c r="CT10" s="45" t="str">
        <f>_xlfn.XLOOKUP(CH10,KEY!$B$3:$B$1000,KEY!$F$3:$F$1000)</f>
        <v>밤친구</v>
      </c>
      <c r="CU10" s="2" t="s">
        <v>41</v>
      </c>
      <c r="CV10" s="33">
        <f t="shared" si="18"/>
        <v>60554077</v>
      </c>
      <c r="CW10" s="46" t="str">
        <f>_xlfn.XLOOKUP(CS10,KEY!E:E,KEY!G:G)</f>
        <v>W1600</v>
      </c>
      <c r="CX10" s="46" t="str">
        <f>_xlfn.XLOOKUP(CT10,KEY!F:F,KEY!H:H)</f>
        <v>PN113</v>
      </c>
    </row>
    <row r="11" spans="1:102">
      <c r="A11" s="136" t="s">
        <v>127</v>
      </c>
      <c r="B11" s="130">
        <v>499170</v>
      </c>
      <c r="C11" s="131"/>
      <c r="D11" s="130" t="s">
        <v>385</v>
      </c>
      <c r="E11" s="130" t="s">
        <v>175</v>
      </c>
      <c r="F11" s="130" t="s">
        <v>165</v>
      </c>
      <c r="G11" s="132" t="s">
        <v>166</v>
      </c>
      <c r="H11" s="132" t="s">
        <v>401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Z11" s="132">
        <v>0</v>
      </c>
      <c r="AA11" s="133">
        <v>93908</v>
      </c>
      <c r="AB11" s="133">
        <v>17883900</v>
      </c>
      <c r="AC11" s="133">
        <v>8896936</v>
      </c>
      <c r="AD11" s="132">
        <v>821</v>
      </c>
      <c r="AE11" s="133">
        <v>199400</v>
      </c>
      <c r="AF11" s="133">
        <v>124160</v>
      </c>
      <c r="AG11" s="133">
        <v>53601</v>
      </c>
      <c r="AH11" s="133">
        <v>17490967</v>
      </c>
      <c r="AI11" s="133">
        <v>1372600</v>
      </c>
      <c r="AJ11" s="132">
        <v>102</v>
      </c>
      <c r="AK11" s="133">
        <v>39469</v>
      </c>
      <c r="AL11" s="133">
        <v>7900</v>
      </c>
      <c r="AM11" s="133">
        <v>28033</v>
      </c>
      <c r="AN11" s="133">
        <v>8159800</v>
      </c>
      <c r="AO11" s="133">
        <v>199900</v>
      </c>
      <c r="AP11" s="132">
        <v>472</v>
      </c>
      <c r="AQ11" s="133">
        <v>196100</v>
      </c>
      <c r="AR11" s="133">
        <v>7200</v>
      </c>
      <c r="AS11" s="133">
        <v>36030</v>
      </c>
      <c r="AT11" s="133">
        <v>12722505</v>
      </c>
      <c r="AU11" s="133">
        <v>39900</v>
      </c>
      <c r="AV11" s="132">
        <v>174</v>
      </c>
      <c r="AW11" s="133">
        <v>86852</v>
      </c>
      <c r="AX11" s="133">
        <v>1000</v>
      </c>
      <c r="AY11" s="133">
        <v>41653</v>
      </c>
      <c r="AZ11" s="133">
        <v>14752200</v>
      </c>
      <c r="BA11" s="133">
        <v>42400</v>
      </c>
      <c r="BB11" s="132">
        <v>185</v>
      </c>
      <c r="BC11" s="133">
        <v>90240</v>
      </c>
      <c r="BD11" s="132">
        <v>0</v>
      </c>
      <c r="BE11" s="132">
        <v>114</v>
      </c>
      <c r="BF11" s="133">
        <v>40080</v>
      </c>
      <c r="BG11" s="132">
        <v>0</v>
      </c>
      <c r="BH11" s="132">
        <v>3</v>
      </c>
      <c r="BI11" s="133">
        <v>1440</v>
      </c>
      <c r="BJ11" s="132">
        <v>0</v>
      </c>
      <c r="BK11" s="132">
        <v>140</v>
      </c>
      <c r="BL11" s="133">
        <v>40800</v>
      </c>
      <c r="BM11" s="132">
        <v>0</v>
      </c>
      <c r="BN11" s="132">
        <v>1</v>
      </c>
      <c r="BO11" s="132">
        <v>400</v>
      </c>
      <c r="BP11" s="132">
        <v>0</v>
      </c>
      <c r="BQ11" s="132">
        <v>257</v>
      </c>
      <c r="BR11" s="134">
        <v>8678556</v>
      </c>
      <c r="BS11" s="135">
        <v>82396149</v>
      </c>
      <c r="BT11" s="84">
        <f t="shared" si="0"/>
        <v>41520</v>
      </c>
      <c r="BU11" s="84">
        <f t="shared" si="1"/>
        <v>10691996</v>
      </c>
      <c r="BV11" s="84">
        <f t="shared" si="2"/>
        <v>26439200</v>
      </c>
      <c r="BW11" s="84">
        <f t="shared" si="3"/>
        <v>12809357</v>
      </c>
      <c r="BX11" s="84">
        <f t="shared" si="4"/>
        <v>14842440</v>
      </c>
      <c r="BY11" s="84">
        <f t="shared" si="5"/>
        <v>41200</v>
      </c>
      <c r="BZ11" s="84">
        <f t="shared" si="6"/>
        <v>17530436</v>
      </c>
      <c r="CA11" s="84">
        <f t="shared" si="7"/>
        <v>82396149</v>
      </c>
      <c r="CB11" s="84">
        <f t="shared" si="8"/>
        <v>8678556</v>
      </c>
      <c r="CC11" s="84">
        <f t="shared" si="9"/>
        <v>73717593</v>
      </c>
      <c r="CD11" s="85">
        <f t="shared" si="10"/>
        <v>44230556</v>
      </c>
      <c r="CF11" s="6" t="s">
        <v>405</v>
      </c>
      <c r="CG11" s="6" t="str">
        <f t="shared" si="11"/>
        <v>2026-01</v>
      </c>
      <c r="CH11" s="5" t="str">
        <f>_xlfn.XLOOKUP('컨텐츠별 매출 통계'!A11,KEY!$C$3:$C$1000,KEY!$B$3:$B$1000)</f>
        <v>왕따가격투기를너무잘함</v>
      </c>
      <c r="CI11" s="5">
        <f t="shared" si="12"/>
        <v>44230556</v>
      </c>
      <c r="CJ11" s="5">
        <v>0</v>
      </c>
      <c r="CK11" s="5">
        <f t="shared" si="13"/>
        <v>44230556</v>
      </c>
      <c r="CL11" s="5"/>
      <c r="CM11" s="5"/>
      <c r="CN11" s="5">
        <f t="shared" si="14"/>
        <v>44230556</v>
      </c>
      <c r="CO11" s="5">
        <f t="shared" si="15"/>
        <v>0</v>
      </c>
      <c r="CP11" s="5">
        <f t="shared" si="16"/>
        <v>44230556</v>
      </c>
      <c r="CR11" s="45" t="str">
        <f t="shared" si="17"/>
        <v>2026-01월 국내유상이용권 브랜드정산_웹툰&lt;왕따가격투기를너무잘함&gt;</v>
      </c>
      <c r="CS11" s="45" t="str">
        <f>_xlfn.XLOOKUP(CH11,KEY!$B$3:$B$1000,KEY!$E$3:$E$1000)</f>
        <v>팀 꿀빨</v>
      </c>
      <c r="CT11" s="45" t="str">
        <f>_xlfn.XLOOKUP(CH11,KEY!$B$3:$B$1000,KEY!$F$3:$F$1000)</f>
        <v>왕따가 격투기를 너무 잘함</v>
      </c>
      <c r="CU11" s="2" t="s">
        <v>41</v>
      </c>
      <c r="CV11" s="33">
        <f t="shared" si="18"/>
        <v>44230556</v>
      </c>
      <c r="CW11" s="46" t="str">
        <f>_xlfn.XLOOKUP(CS11,KEY!E:E,KEY!G:G)</f>
        <v>W1300</v>
      </c>
      <c r="CX11" s="46" t="str">
        <f>_xlfn.XLOOKUP(CT11,KEY!F:F,KEY!H:H)</f>
        <v>PN026</v>
      </c>
    </row>
    <row r="12" spans="1:102">
      <c r="A12" s="136" t="s">
        <v>349</v>
      </c>
      <c r="B12" s="130">
        <v>645729</v>
      </c>
      <c r="C12" s="131"/>
      <c r="D12" s="130" t="s">
        <v>385</v>
      </c>
      <c r="E12" s="130" t="s">
        <v>350</v>
      </c>
      <c r="F12" s="130" t="s">
        <v>351</v>
      </c>
      <c r="G12" s="132" t="s">
        <v>166</v>
      </c>
      <c r="H12" s="132" t="s">
        <v>398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Z12" s="132">
        <v>0</v>
      </c>
      <c r="AA12" s="133">
        <v>78192</v>
      </c>
      <c r="AB12" s="133">
        <v>15758440</v>
      </c>
      <c r="AC12" s="133">
        <v>6915430</v>
      </c>
      <c r="AD12" s="133">
        <v>1174</v>
      </c>
      <c r="AE12" s="133">
        <v>349100</v>
      </c>
      <c r="AF12" s="133">
        <v>134025</v>
      </c>
      <c r="AG12" s="133">
        <v>36549</v>
      </c>
      <c r="AH12" s="133">
        <v>11729084</v>
      </c>
      <c r="AI12" s="133">
        <v>1149000</v>
      </c>
      <c r="AJ12" s="132">
        <v>180</v>
      </c>
      <c r="AK12" s="133">
        <v>67372</v>
      </c>
      <c r="AL12" s="133">
        <v>15400</v>
      </c>
      <c r="AM12" s="133">
        <v>28242</v>
      </c>
      <c r="AN12" s="133">
        <v>8242000</v>
      </c>
      <c r="AO12" s="133">
        <v>193300</v>
      </c>
      <c r="AP12" s="132">
        <v>752</v>
      </c>
      <c r="AQ12" s="133">
        <v>326600</v>
      </c>
      <c r="AR12" s="133">
        <v>9000</v>
      </c>
      <c r="AS12" s="133">
        <v>34524</v>
      </c>
      <c r="AT12" s="133">
        <v>12237208</v>
      </c>
      <c r="AU12" s="133">
        <v>39900</v>
      </c>
      <c r="AV12" s="132">
        <v>238</v>
      </c>
      <c r="AW12" s="133">
        <v>135936</v>
      </c>
      <c r="AX12" s="132">
        <v>0</v>
      </c>
      <c r="AY12" s="133">
        <v>43550</v>
      </c>
      <c r="AZ12" s="133">
        <v>15514200</v>
      </c>
      <c r="BA12" s="133">
        <v>38500</v>
      </c>
      <c r="BB12" s="132">
        <v>295</v>
      </c>
      <c r="BC12" s="133">
        <v>153360</v>
      </c>
      <c r="BD12" s="132">
        <v>400</v>
      </c>
      <c r="BE12" s="132">
        <v>174</v>
      </c>
      <c r="BF12" s="133">
        <v>62040</v>
      </c>
      <c r="BG12" s="132">
        <v>0</v>
      </c>
      <c r="BH12" s="132">
        <v>16</v>
      </c>
      <c r="BI12" s="133">
        <v>7680</v>
      </c>
      <c r="BJ12" s="132">
        <v>0</v>
      </c>
      <c r="BK12" s="132">
        <v>223</v>
      </c>
      <c r="BL12" s="133">
        <v>65900</v>
      </c>
      <c r="BM12" s="132">
        <v>0</v>
      </c>
      <c r="BN12" s="132">
        <v>6</v>
      </c>
      <c r="BO12" s="133">
        <v>2200</v>
      </c>
      <c r="BP12" s="132">
        <v>0</v>
      </c>
      <c r="BQ12" s="132">
        <v>36</v>
      </c>
      <c r="BR12" s="134">
        <v>6942407.2999999998</v>
      </c>
      <c r="BS12" s="135">
        <v>73146075</v>
      </c>
      <c r="BT12" s="84">
        <f t="shared" si="0"/>
        <v>69720</v>
      </c>
      <c r="BU12" s="84">
        <f t="shared" si="1"/>
        <v>8494955</v>
      </c>
      <c r="BV12" s="84">
        <f t="shared" si="2"/>
        <v>24676140</v>
      </c>
      <c r="BW12" s="84">
        <f t="shared" si="3"/>
        <v>12373144</v>
      </c>
      <c r="BX12" s="84">
        <f t="shared" si="4"/>
        <v>15667560</v>
      </c>
      <c r="BY12" s="84">
        <f t="shared" si="5"/>
        <v>68100</v>
      </c>
      <c r="BZ12" s="84">
        <f t="shared" si="6"/>
        <v>11796456</v>
      </c>
      <c r="CA12" s="84">
        <f t="shared" si="7"/>
        <v>73146075</v>
      </c>
      <c r="CB12" s="84">
        <f t="shared" si="8"/>
        <v>6942407</v>
      </c>
      <c r="CC12" s="84">
        <f t="shared" si="9"/>
        <v>66203668</v>
      </c>
      <c r="CD12" s="85">
        <f t="shared" si="10"/>
        <v>39722201</v>
      </c>
      <c r="CF12" s="6" t="s">
        <v>405</v>
      </c>
      <c r="CG12" s="6" t="str">
        <f t="shared" si="11"/>
        <v>2026-01</v>
      </c>
      <c r="CH12" s="5" t="str">
        <f>_xlfn.XLOOKUP('컨텐츠별 매출 통계'!A12,KEY!$C$3:$C$1000,KEY!$B$3:$B$1000)</f>
        <v>태존비록</v>
      </c>
      <c r="CI12" s="5">
        <f t="shared" si="12"/>
        <v>39722201</v>
      </c>
      <c r="CJ12" s="5">
        <v>0</v>
      </c>
      <c r="CK12" s="5">
        <f t="shared" si="13"/>
        <v>39722201</v>
      </c>
      <c r="CL12" s="5"/>
      <c r="CM12" s="5"/>
      <c r="CN12" s="5">
        <f t="shared" si="14"/>
        <v>39722201</v>
      </c>
      <c r="CO12" s="5">
        <f t="shared" si="15"/>
        <v>0</v>
      </c>
      <c r="CP12" s="5">
        <f t="shared" si="16"/>
        <v>39722201</v>
      </c>
      <c r="CR12" s="45" t="str">
        <f t="shared" si="17"/>
        <v>2026-01월 국내유상이용권 브랜드정산_웹툰&lt;태존비록&gt;</v>
      </c>
      <c r="CS12" s="45" t="str">
        <f>_xlfn.XLOOKUP(CH12,KEY!$B$3:$B$1000,KEY!$E$3:$E$1000)</f>
        <v>팀 꿀빨</v>
      </c>
      <c r="CT12" s="45" t="str">
        <f>_xlfn.XLOOKUP(CH12,KEY!$B$3:$B$1000,KEY!$F$3:$F$1000)</f>
        <v>태존비록</v>
      </c>
      <c r="CU12" s="2" t="s">
        <v>41</v>
      </c>
      <c r="CV12" s="33">
        <f t="shared" si="18"/>
        <v>39722201</v>
      </c>
      <c r="CW12" s="46" t="str">
        <f>_xlfn.XLOOKUP(CS12,KEY!E:E,KEY!G:G)</f>
        <v>W1300</v>
      </c>
      <c r="CX12" s="46" t="str">
        <f>_xlfn.XLOOKUP(CT12,KEY!F:F,KEY!H:H)</f>
        <v>PN040</v>
      </c>
    </row>
    <row r="13" spans="1:102">
      <c r="A13" s="136" t="s">
        <v>358</v>
      </c>
      <c r="B13" s="130">
        <v>656399</v>
      </c>
      <c r="C13" s="131"/>
      <c r="D13" s="130" t="s">
        <v>385</v>
      </c>
      <c r="E13" s="130" t="s">
        <v>359</v>
      </c>
      <c r="F13" s="130" t="s">
        <v>359</v>
      </c>
      <c r="G13" s="132" t="s">
        <v>170</v>
      </c>
      <c r="H13" s="132" t="s">
        <v>400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Z13" s="132">
        <v>0</v>
      </c>
      <c r="AA13" s="133">
        <v>128253</v>
      </c>
      <c r="AB13" s="133">
        <v>12331700</v>
      </c>
      <c r="AC13" s="133">
        <v>12011989</v>
      </c>
      <c r="AD13" s="132">
        <v>224</v>
      </c>
      <c r="AE13" s="133">
        <v>31400</v>
      </c>
      <c r="AF13" s="133">
        <v>38055</v>
      </c>
      <c r="AG13" s="133">
        <v>93878</v>
      </c>
      <c r="AH13" s="133">
        <v>17745372</v>
      </c>
      <c r="AI13" s="133">
        <v>3896800</v>
      </c>
      <c r="AJ13" s="132">
        <v>25</v>
      </c>
      <c r="AK13" s="133">
        <v>3600</v>
      </c>
      <c r="AL13" s="133">
        <v>4000</v>
      </c>
      <c r="AM13" s="133">
        <v>15373</v>
      </c>
      <c r="AN13" s="133">
        <v>2988800</v>
      </c>
      <c r="AO13" s="133">
        <v>73500</v>
      </c>
      <c r="AP13" s="132">
        <v>96</v>
      </c>
      <c r="AQ13" s="133">
        <v>30300</v>
      </c>
      <c r="AR13" s="132">
        <v>600</v>
      </c>
      <c r="AS13" s="133">
        <v>28018</v>
      </c>
      <c r="AT13" s="133">
        <v>6618057</v>
      </c>
      <c r="AU13" s="133">
        <v>20300</v>
      </c>
      <c r="AV13" s="132">
        <v>55</v>
      </c>
      <c r="AW13" s="133">
        <v>22360</v>
      </c>
      <c r="AX13" s="132">
        <v>200</v>
      </c>
      <c r="AY13" s="133">
        <v>46286</v>
      </c>
      <c r="AZ13" s="133">
        <v>10959600</v>
      </c>
      <c r="BA13" s="133">
        <v>31400</v>
      </c>
      <c r="BB13" s="132">
        <v>80</v>
      </c>
      <c r="BC13" s="133">
        <v>47880</v>
      </c>
      <c r="BD13" s="132">
        <v>300</v>
      </c>
      <c r="BE13" s="132">
        <v>94</v>
      </c>
      <c r="BF13" s="133">
        <v>21960</v>
      </c>
      <c r="BG13" s="132">
        <v>0</v>
      </c>
      <c r="BH13" s="132">
        <v>1</v>
      </c>
      <c r="BI13" s="133">
        <v>1080</v>
      </c>
      <c r="BJ13" s="132">
        <v>0</v>
      </c>
      <c r="BK13" s="132">
        <v>282</v>
      </c>
      <c r="BL13" s="133">
        <v>56200</v>
      </c>
      <c r="BM13" s="132">
        <v>0</v>
      </c>
      <c r="BN13" s="132">
        <v>0</v>
      </c>
      <c r="BO13" s="132">
        <v>0</v>
      </c>
      <c r="BP13" s="132">
        <v>0</v>
      </c>
      <c r="BQ13" s="132">
        <v>102</v>
      </c>
      <c r="BR13" s="134">
        <v>7451142.5999999996</v>
      </c>
      <c r="BS13" s="135">
        <v>66935453</v>
      </c>
      <c r="BT13" s="84">
        <f t="shared" si="0"/>
        <v>23040</v>
      </c>
      <c r="BU13" s="84">
        <f t="shared" si="1"/>
        <v>16077144</v>
      </c>
      <c r="BV13" s="84">
        <f t="shared" si="2"/>
        <v>15382200</v>
      </c>
      <c r="BW13" s="84">
        <f t="shared" si="3"/>
        <v>6640417</v>
      </c>
      <c r="BX13" s="84">
        <f t="shared" si="4"/>
        <v>11007480</v>
      </c>
      <c r="BY13" s="84">
        <f t="shared" si="5"/>
        <v>56200</v>
      </c>
      <c r="BZ13" s="84">
        <f t="shared" si="6"/>
        <v>17748972</v>
      </c>
      <c r="CA13" s="84">
        <f t="shared" si="7"/>
        <v>66935453</v>
      </c>
      <c r="CB13" s="84">
        <f t="shared" si="8"/>
        <v>7451143</v>
      </c>
      <c r="CC13" s="84">
        <f t="shared" si="9"/>
        <v>59484310</v>
      </c>
      <c r="CD13" s="85">
        <f t="shared" si="10"/>
        <v>35690586</v>
      </c>
      <c r="CF13" s="6" t="s">
        <v>405</v>
      </c>
      <c r="CG13" s="6" t="str">
        <f t="shared" si="11"/>
        <v>2026-01</v>
      </c>
      <c r="CH13" s="5" t="str">
        <f>_xlfn.XLOOKUP('컨텐츠별 매출 통계'!A13,KEY!$C$3:$C$1000,KEY!$B$3:$B$1000)</f>
        <v>오! 나의 교주님</v>
      </c>
      <c r="CI13" s="5">
        <f t="shared" si="12"/>
        <v>35690586</v>
      </c>
      <c r="CJ13" s="5">
        <v>0</v>
      </c>
      <c r="CK13" s="5">
        <f t="shared" si="13"/>
        <v>35690586</v>
      </c>
      <c r="CL13" s="5"/>
      <c r="CM13" s="5"/>
      <c r="CN13" s="5">
        <f t="shared" si="14"/>
        <v>35690586</v>
      </c>
      <c r="CO13" s="5">
        <f t="shared" si="15"/>
        <v>0</v>
      </c>
      <c r="CP13" s="5">
        <f t="shared" si="16"/>
        <v>35690586</v>
      </c>
      <c r="CR13" s="45" t="str">
        <f t="shared" si="17"/>
        <v>2026-01월 국내유상이용권 브랜드정산_웹툰&lt;오! 나의 교주님&gt;</v>
      </c>
      <c r="CS13" s="45" t="str">
        <f>_xlfn.XLOOKUP(CH13,KEY!$B$3:$B$1000,KEY!$E$3:$E$1000)</f>
        <v>팀 꿀빨</v>
      </c>
      <c r="CT13" s="45" t="str">
        <f>_xlfn.XLOOKUP(CH13,KEY!$B$3:$B$1000,KEY!$F$3:$F$1000)</f>
        <v>오! 나의 교주님</v>
      </c>
      <c r="CU13" s="2" t="s">
        <v>41</v>
      </c>
      <c r="CV13" s="33">
        <f t="shared" si="18"/>
        <v>35690586</v>
      </c>
      <c r="CW13" s="46" t="str">
        <f>_xlfn.XLOOKUP(CS13,KEY!E:E,KEY!G:G)</f>
        <v>W1300</v>
      </c>
      <c r="CX13" s="46" t="str">
        <f>_xlfn.XLOOKUP(CT13,KEY!F:F,KEY!H:H)</f>
        <v>PN137</v>
      </c>
    </row>
    <row r="14" spans="1:102">
      <c r="A14" s="136" t="s">
        <v>148</v>
      </c>
      <c r="B14" s="130">
        <v>577640</v>
      </c>
      <c r="C14" s="131"/>
      <c r="D14" s="130" t="s">
        <v>385</v>
      </c>
      <c r="E14" s="130" t="s">
        <v>169</v>
      </c>
      <c r="F14" s="130" t="s">
        <v>169</v>
      </c>
      <c r="G14" s="132" t="s">
        <v>170</v>
      </c>
      <c r="H14" s="132" t="s">
        <v>402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2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32">
        <v>0</v>
      </c>
      <c r="V14" s="132">
        <v>0</v>
      </c>
      <c r="W14" s="132">
        <v>0</v>
      </c>
      <c r="X14" s="132">
        <v>0</v>
      </c>
      <c r="Y14" s="132">
        <v>0</v>
      </c>
      <c r="Z14" s="132">
        <v>0</v>
      </c>
      <c r="AA14" s="133">
        <v>55638</v>
      </c>
      <c r="AB14" s="133">
        <v>10993380</v>
      </c>
      <c r="AC14" s="133">
        <v>5050066</v>
      </c>
      <c r="AD14" s="132">
        <v>720</v>
      </c>
      <c r="AE14" s="133">
        <v>307800</v>
      </c>
      <c r="AF14" s="133">
        <v>107380</v>
      </c>
      <c r="AG14" s="133">
        <v>45208</v>
      </c>
      <c r="AH14" s="133">
        <v>14913885</v>
      </c>
      <c r="AI14" s="133">
        <v>1084800</v>
      </c>
      <c r="AJ14" s="132">
        <v>55</v>
      </c>
      <c r="AK14" s="133">
        <v>27600</v>
      </c>
      <c r="AL14" s="133">
        <v>5000</v>
      </c>
      <c r="AM14" s="133">
        <v>14217</v>
      </c>
      <c r="AN14" s="133">
        <v>4153400</v>
      </c>
      <c r="AO14" s="133">
        <v>96000</v>
      </c>
      <c r="AP14" s="132">
        <v>200</v>
      </c>
      <c r="AQ14" s="133">
        <v>165300</v>
      </c>
      <c r="AR14" s="133">
        <v>9800</v>
      </c>
      <c r="AS14" s="133">
        <v>34229</v>
      </c>
      <c r="AT14" s="133">
        <v>12088192</v>
      </c>
      <c r="AU14" s="133">
        <v>35600</v>
      </c>
      <c r="AV14" s="132">
        <v>329</v>
      </c>
      <c r="AW14" s="133">
        <v>282182</v>
      </c>
      <c r="AX14" s="132">
        <v>800</v>
      </c>
      <c r="AY14" s="133">
        <v>32853</v>
      </c>
      <c r="AZ14" s="133">
        <v>11678400</v>
      </c>
      <c r="BA14" s="133">
        <v>32300</v>
      </c>
      <c r="BB14" s="132">
        <v>186</v>
      </c>
      <c r="BC14" s="133">
        <v>138720</v>
      </c>
      <c r="BD14" s="132">
        <v>0</v>
      </c>
      <c r="BE14" s="132">
        <v>40</v>
      </c>
      <c r="BF14" s="133">
        <v>14400</v>
      </c>
      <c r="BG14" s="132">
        <v>0</v>
      </c>
      <c r="BH14" s="132">
        <v>3</v>
      </c>
      <c r="BI14" s="133">
        <v>1800</v>
      </c>
      <c r="BJ14" s="132">
        <v>0</v>
      </c>
      <c r="BK14" s="132">
        <v>117</v>
      </c>
      <c r="BL14" s="133">
        <v>34800</v>
      </c>
      <c r="BM14" s="132">
        <v>0</v>
      </c>
      <c r="BN14" s="132">
        <v>1</v>
      </c>
      <c r="BO14" s="132">
        <v>500</v>
      </c>
      <c r="BP14" s="132">
        <v>0</v>
      </c>
      <c r="BQ14" s="132">
        <v>63</v>
      </c>
      <c r="BR14" s="134">
        <v>7258209.2000000002</v>
      </c>
      <c r="BS14" s="135">
        <v>61222105</v>
      </c>
      <c r="BT14" s="84">
        <f t="shared" si="0"/>
        <v>16200</v>
      </c>
      <c r="BU14" s="84">
        <f t="shared" si="1"/>
        <v>6421746</v>
      </c>
      <c r="BV14" s="84">
        <f t="shared" si="2"/>
        <v>15619880</v>
      </c>
      <c r="BW14" s="84">
        <f t="shared" si="3"/>
        <v>12370374</v>
      </c>
      <c r="BX14" s="84">
        <f t="shared" si="4"/>
        <v>11817120</v>
      </c>
      <c r="BY14" s="84">
        <f t="shared" si="5"/>
        <v>35300</v>
      </c>
      <c r="BZ14" s="84">
        <f t="shared" si="6"/>
        <v>14941485</v>
      </c>
      <c r="CA14" s="84">
        <f t="shared" si="7"/>
        <v>61222105</v>
      </c>
      <c r="CB14" s="84">
        <f t="shared" si="8"/>
        <v>7258209</v>
      </c>
      <c r="CC14" s="84">
        <f t="shared" si="9"/>
        <v>53963896</v>
      </c>
      <c r="CD14" s="85">
        <f t="shared" si="10"/>
        <v>32378338</v>
      </c>
      <c r="CF14" s="6" t="s">
        <v>405</v>
      </c>
      <c r="CG14" s="6" t="str">
        <f t="shared" si="11"/>
        <v>2026-01</v>
      </c>
      <c r="CH14" s="5" t="str">
        <f>_xlfn.XLOOKUP('컨텐츠별 매출 통계'!A14,KEY!$C$3:$C$1000,KEY!$B$3:$B$1000)</f>
        <v>데이워커</v>
      </c>
      <c r="CI14" s="5">
        <f t="shared" si="12"/>
        <v>32378338</v>
      </c>
      <c r="CJ14" s="5">
        <v>0</v>
      </c>
      <c r="CK14" s="5">
        <f t="shared" si="13"/>
        <v>32378338</v>
      </c>
      <c r="CL14" s="5"/>
      <c r="CM14" s="5"/>
      <c r="CN14" s="5">
        <f t="shared" si="14"/>
        <v>32378338</v>
      </c>
      <c r="CO14" s="5">
        <f t="shared" si="15"/>
        <v>0</v>
      </c>
      <c r="CP14" s="5">
        <f t="shared" si="16"/>
        <v>32378338</v>
      </c>
      <c r="CR14" s="45" t="str">
        <f t="shared" si="17"/>
        <v>2026-01월 국내유상이용권 브랜드정산_웹툰&lt;데이워커&gt;</v>
      </c>
      <c r="CS14" s="45" t="str">
        <f>_xlfn.XLOOKUP(CH14,KEY!$B$3:$B$1000,KEY!$E$3:$E$1000)</f>
        <v>팀 MUTE_뮤트</v>
      </c>
      <c r="CT14" s="45" t="str">
        <f>_xlfn.XLOOKUP(CH14,KEY!$B$3:$B$1000,KEY!$F$3:$F$1000)</f>
        <v>데이워커</v>
      </c>
      <c r="CU14" s="2" t="s">
        <v>41</v>
      </c>
      <c r="CV14" s="33">
        <f t="shared" si="18"/>
        <v>32378338</v>
      </c>
      <c r="CW14" s="46" t="str">
        <f>_xlfn.XLOOKUP(CS14,KEY!E:E,KEY!G:G)</f>
        <v>W1600</v>
      </c>
      <c r="CX14" s="46" t="str">
        <f>_xlfn.XLOOKUP(CT14,KEY!F:F,KEY!H:H)</f>
        <v>PN077</v>
      </c>
    </row>
    <row r="15" spans="1:102">
      <c r="A15" s="136" t="s">
        <v>123</v>
      </c>
      <c r="B15" s="130">
        <v>493508</v>
      </c>
      <c r="C15" s="131"/>
      <c r="D15" s="130" t="s">
        <v>385</v>
      </c>
      <c r="E15" s="130" t="s">
        <v>174</v>
      </c>
      <c r="F15" s="130" t="s">
        <v>165</v>
      </c>
      <c r="G15" s="132" t="s">
        <v>166</v>
      </c>
      <c r="H15" s="132" t="s">
        <v>401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2">
        <v>0</v>
      </c>
      <c r="O15" s="132">
        <v>0</v>
      </c>
      <c r="P15" s="132">
        <v>0</v>
      </c>
      <c r="Q15" s="132">
        <v>0</v>
      </c>
      <c r="R15" s="132">
        <v>0</v>
      </c>
      <c r="S15" s="132">
        <v>0</v>
      </c>
      <c r="T15" s="132">
        <v>0</v>
      </c>
      <c r="U15" s="132">
        <v>0</v>
      </c>
      <c r="V15" s="132">
        <v>0</v>
      </c>
      <c r="W15" s="132">
        <v>0</v>
      </c>
      <c r="X15" s="132">
        <v>0</v>
      </c>
      <c r="Y15" s="132">
        <v>0</v>
      </c>
      <c r="Z15" s="132">
        <v>0</v>
      </c>
      <c r="AA15" s="133">
        <v>63771</v>
      </c>
      <c r="AB15" s="133">
        <v>13204340</v>
      </c>
      <c r="AC15" s="133">
        <v>5154090</v>
      </c>
      <c r="AD15" s="132">
        <v>910</v>
      </c>
      <c r="AE15" s="133">
        <v>349400</v>
      </c>
      <c r="AF15" s="133">
        <v>117825</v>
      </c>
      <c r="AG15" s="133">
        <v>48205</v>
      </c>
      <c r="AH15" s="133">
        <v>15685739</v>
      </c>
      <c r="AI15" s="133">
        <v>1295800</v>
      </c>
      <c r="AJ15" s="132">
        <v>146</v>
      </c>
      <c r="AK15" s="133">
        <v>73800</v>
      </c>
      <c r="AL15" s="133">
        <v>10600</v>
      </c>
      <c r="AM15" s="133">
        <v>15198</v>
      </c>
      <c r="AN15" s="133">
        <v>4445700</v>
      </c>
      <c r="AO15" s="133">
        <v>93400</v>
      </c>
      <c r="AP15" s="132">
        <v>308</v>
      </c>
      <c r="AQ15" s="133">
        <v>161100</v>
      </c>
      <c r="AR15" s="133">
        <v>2300</v>
      </c>
      <c r="AS15" s="133">
        <v>23628</v>
      </c>
      <c r="AT15" s="133">
        <v>8350111</v>
      </c>
      <c r="AU15" s="133">
        <v>25500</v>
      </c>
      <c r="AV15" s="132">
        <v>175</v>
      </c>
      <c r="AW15" s="133">
        <v>109410</v>
      </c>
      <c r="AX15" s="132">
        <v>0</v>
      </c>
      <c r="AY15" s="133">
        <v>25508</v>
      </c>
      <c r="AZ15" s="133">
        <v>9054480</v>
      </c>
      <c r="BA15" s="133">
        <v>30500</v>
      </c>
      <c r="BB15" s="132">
        <v>177</v>
      </c>
      <c r="BC15" s="133">
        <v>118200</v>
      </c>
      <c r="BD15" s="132">
        <v>600</v>
      </c>
      <c r="BE15" s="132">
        <v>167</v>
      </c>
      <c r="BF15" s="133">
        <v>59160</v>
      </c>
      <c r="BG15" s="132">
        <v>0</v>
      </c>
      <c r="BH15" s="132">
        <v>8</v>
      </c>
      <c r="BI15" s="133">
        <v>4800</v>
      </c>
      <c r="BJ15" s="132">
        <v>0</v>
      </c>
      <c r="BK15" s="132">
        <v>134</v>
      </c>
      <c r="BL15" s="133">
        <v>39800</v>
      </c>
      <c r="BM15" s="132">
        <v>0</v>
      </c>
      <c r="BN15" s="132">
        <v>4</v>
      </c>
      <c r="BO15" s="133">
        <v>2000</v>
      </c>
      <c r="BP15" s="132">
        <v>0</v>
      </c>
      <c r="BQ15" s="132">
        <v>0</v>
      </c>
      <c r="BR15" s="134">
        <v>6955558</v>
      </c>
      <c r="BS15" s="135">
        <v>58388655</v>
      </c>
      <c r="BT15" s="84">
        <f t="shared" si="0"/>
        <v>63960</v>
      </c>
      <c r="BU15" s="84">
        <f t="shared" si="1"/>
        <v>6730615</v>
      </c>
      <c r="BV15" s="84">
        <f t="shared" si="2"/>
        <v>18160540</v>
      </c>
      <c r="BW15" s="84">
        <f t="shared" si="3"/>
        <v>8459521</v>
      </c>
      <c r="BX15" s="84">
        <f t="shared" si="4"/>
        <v>9172680</v>
      </c>
      <c r="BY15" s="84">
        <f t="shared" si="5"/>
        <v>41800</v>
      </c>
      <c r="BZ15" s="84">
        <f t="shared" si="6"/>
        <v>15759539</v>
      </c>
      <c r="CA15" s="84">
        <f t="shared" si="7"/>
        <v>58388655</v>
      </c>
      <c r="CB15" s="84">
        <f t="shared" si="8"/>
        <v>6955558</v>
      </c>
      <c r="CC15" s="84">
        <f t="shared" si="9"/>
        <v>51433097</v>
      </c>
      <c r="CD15" s="85">
        <f t="shared" si="10"/>
        <v>30859858</v>
      </c>
      <c r="CF15" s="6" t="s">
        <v>405</v>
      </c>
      <c r="CG15" s="6" t="str">
        <f t="shared" si="11"/>
        <v>2026-01</v>
      </c>
      <c r="CH15" s="5" t="str">
        <f>_xlfn.XLOOKUP('컨텐츠별 매출 통계'!A15,KEY!$C$3:$C$1000,KEY!$B$3:$B$1000)</f>
        <v>백XX</v>
      </c>
      <c r="CI15" s="5">
        <f t="shared" si="12"/>
        <v>30859858</v>
      </c>
      <c r="CJ15" s="5">
        <v>0</v>
      </c>
      <c r="CK15" s="5">
        <f t="shared" si="13"/>
        <v>30859858</v>
      </c>
      <c r="CL15" s="5"/>
      <c r="CM15" s="5"/>
      <c r="CN15" s="5">
        <f t="shared" si="14"/>
        <v>30859858</v>
      </c>
      <c r="CO15" s="5">
        <f t="shared" si="15"/>
        <v>0</v>
      </c>
      <c r="CP15" s="5">
        <f t="shared" si="16"/>
        <v>30859858</v>
      </c>
      <c r="CR15" s="45" t="str">
        <f t="shared" si="17"/>
        <v>2026-01월 국내유상이용권 브랜드정산_웹툰&lt;백XX&gt;</v>
      </c>
      <c r="CS15" s="45" t="str">
        <f>_xlfn.XLOOKUP(CH15,KEY!$B$3:$B$1000,KEY!$E$3:$E$1000)</f>
        <v>팀 병장</v>
      </c>
      <c r="CT15" s="45" t="str">
        <f>_xlfn.XLOOKUP(CH15,KEY!$B$3:$B$1000,KEY!$F$3:$F$1000)</f>
        <v>백XX(가제.쌍두사)</v>
      </c>
      <c r="CU15" s="2" t="s">
        <v>41</v>
      </c>
      <c r="CV15" s="33">
        <f t="shared" si="18"/>
        <v>30859858</v>
      </c>
      <c r="CW15" s="46" t="str">
        <f>_xlfn.XLOOKUP(CS15,KEY!E:E,KEY!G:G)</f>
        <v>W1400</v>
      </c>
      <c r="CX15" s="46" t="str">
        <f>_xlfn.XLOOKUP(CT15,KEY!F:F,KEY!H:H)</f>
        <v>PN018</v>
      </c>
    </row>
    <row r="16" spans="1:102">
      <c r="A16" s="136" t="s">
        <v>370</v>
      </c>
      <c r="B16" s="130">
        <v>662616</v>
      </c>
      <c r="C16" s="131"/>
      <c r="D16" s="130" t="s">
        <v>385</v>
      </c>
      <c r="E16" s="130" t="s">
        <v>371</v>
      </c>
      <c r="F16" s="130" t="s">
        <v>372</v>
      </c>
      <c r="G16" s="132" t="s">
        <v>96</v>
      </c>
      <c r="H16" s="132" t="s">
        <v>399</v>
      </c>
      <c r="I16" s="132">
        <v>0</v>
      </c>
      <c r="J16" s="132">
        <v>0</v>
      </c>
      <c r="K16" s="132">
        <v>0</v>
      </c>
      <c r="L16" s="132">
        <v>0</v>
      </c>
      <c r="M16" s="132">
        <v>0</v>
      </c>
      <c r="N16" s="132">
        <v>0</v>
      </c>
      <c r="O16" s="132">
        <v>0</v>
      </c>
      <c r="P16" s="132">
        <v>0</v>
      </c>
      <c r="Q16" s="132">
        <v>0</v>
      </c>
      <c r="R16" s="132">
        <v>0</v>
      </c>
      <c r="S16" s="132">
        <v>0</v>
      </c>
      <c r="T16" s="132">
        <v>0</v>
      </c>
      <c r="U16" s="132">
        <v>0</v>
      </c>
      <c r="V16" s="132">
        <v>0</v>
      </c>
      <c r="W16" s="132">
        <v>0</v>
      </c>
      <c r="X16" s="132">
        <v>0</v>
      </c>
      <c r="Y16" s="132">
        <v>0</v>
      </c>
      <c r="Z16" s="132">
        <v>0</v>
      </c>
      <c r="AA16" s="133">
        <v>32756</v>
      </c>
      <c r="AB16" s="133">
        <v>5956400</v>
      </c>
      <c r="AC16" s="133">
        <v>3471925</v>
      </c>
      <c r="AD16" s="132">
        <v>420</v>
      </c>
      <c r="AE16" s="133">
        <v>107400</v>
      </c>
      <c r="AF16" s="133">
        <v>69440</v>
      </c>
      <c r="AG16" s="133">
        <v>12345</v>
      </c>
      <c r="AH16" s="133">
        <v>3649448</v>
      </c>
      <c r="AI16" s="133">
        <v>641000</v>
      </c>
      <c r="AJ16" s="132">
        <v>68</v>
      </c>
      <c r="AK16" s="133">
        <v>26686</v>
      </c>
      <c r="AL16" s="133">
        <v>4000</v>
      </c>
      <c r="AM16" s="133">
        <v>10539</v>
      </c>
      <c r="AN16" s="133">
        <v>3072200</v>
      </c>
      <c r="AO16" s="133">
        <v>75700</v>
      </c>
      <c r="AP16" s="132">
        <v>222</v>
      </c>
      <c r="AQ16" s="133">
        <v>108700</v>
      </c>
      <c r="AR16" s="133">
        <v>1200</v>
      </c>
      <c r="AS16" s="133">
        <v>10383</v>
      </c>
      <c r="AT16" s="133">
        <v>3673220</v>
      </c>
      <c r="AU16" s="133">
        <v>13200</v>
      </c>
      <c r="AV16" s="132">
        <v>123</v>
      </c>
      <c r="AW16" s="133">
        <v>63460</v>
      </c>
      <c r="AX16" s="132">
        <v>0</v>
      </c>
      <c r="AY16" s="133">
        <v>16455</v>
      </c>
      <c r="AZ16" s="133">
        <v>5839920</v>
      </c>
      <c r="BA16" s="133">
        <v>23900</v>
      </c>
      <c r="BB16" s="132">
        <v>82</v>
      </c>
      <c r="BC16" s="133">
        <v>41160</v>
      </c>
      <c r="BD16" s="132">
        <v>0</v>
      </c>
      <c r="BE16" s="132">
        <v>84</v>
      </c>
      <c r="BF16" s="133">
        <v>29760</v>
      </c>
      <c r="BG16" s="132">
        <v>300</v>
      </c>
      <c r="BH16" s="132">
        <v>6</v>
      </c>
      <c r="BI16" s="133">
        <v>2880</v>
      </c>
      <c r="BJ16" s="132">
        <v>0</v>
      </c>
      <c r="BK16" s="132">
        <v>52</v>
      </c>
      <c r="BL16" s="133">
        <v>15300</v>
      </c>
      <c r="BM16" s="132">
        <v>0</v>
      </c>
      <c r="BN16" s="132">
        <v>0</v>
      </c>
      <c r="BO16" s="132">
        <v>0</v>
      </c>
      <c r="BP16" s="132">
        <v>0</v>
      </c>
      <c r="BQ16" s="132">
        <v>0</v>
      </c>
      <c r="BR16" s="134">
        <v>2288052.6</v>
      </c>
      <c r="BS16" s="135">
        <v>26887199</v>
      </c>
      <c r="BT16" s="84">
        <f t="shared" si="0"/>
        <v>32640</v>
      </c>
      <c r="BU16" s="84">
        <f t="shared" si="1"/>
        <v>4300665</v>
      </c>
      <c r="BV16" s="84">
        <f t="shared" si="2"/>
        <v>9244700</v>
      </c>
      <c r="BW16" s="84">
        <f t="shared" si="3"/>
        <v>3736680</v>
      </c>
      <c r="BX16" s="84">
        <f t="shared" si="4"/>
        <v>5881080</v>
      </c>
      <c r="BY16" s="84">
        <f t="shared" si="5"/>
        <v>15300</v>
      </c>
      <c r="BZ16" s="84">
        <f t="shared" si="6"/>
        <v>3676134</v>
      </c>
      <c r="CA16" s="84">
        <f t="shared" si="7"/>
        <v>26887199</v>
      </c>
      <c r="CB16" s="84">
        <f t="shared" si="8"/>
        <v>2288053</v>
      </c>
      <c r="CC16" s="84">
        <f t="shared" si="9"/>
        <v>24599146</v>
      </c>
      <c r="CD16" s="85">
        <f t="shared" si="10"/>
        <v>14759488</v>
      </c>
      <c r="CF16" s="6" t="s">
        <v>405</v>
      </c>
      <c r="CG16" s="6" t="str">
        <f t="shared" si="11"/>
        <v>2026-01</v>
      </c>
      <c r="CH16" s="5" t="str">
        <f>_xlfn.XLOOKUP('컨텐츠별 매출 통계'!A16,KEY!$C$3:$C$1000,KEY!$B$3:$B$1000)</f>
        <v>오늘도 퇴근</v>
      </c>
      <c r="CI16" s="5">
        <f t="shared" si="12"/>
        <v>14759488</v>
      </c>
      <c r="CJ16" s="5">
        <v>0</v>
      </c>
      <c r="CK16" s="5">
        <f t="shared" si="13"/>
        <v>14759488</v>
      </c>
      <c r="CL16" s="5"/>
      <c r="CM16" s="5"/>
      <c r="CN16" s="5">
        <f t="shared" si="14"/>
        <v>14759488</v>
      </c>
      <c r="CO16" s="5">
        <f t="shared" si="15"/>
        <v>0</v>
      </c>
      <c r="CP16" s="5">
        <f t="shared" si="16"/>
        <v>14759488</v>
      </c>
      <c r="CR16" s="45" t="str">
        <f t="shared" si="17"/>
        <v>2026-01월 국내유상이용권 브랜드정산_웹툰&lt;오늘도 퇴근&gt;</v>
      </c>
      <c r="CS16" s="45" t="str">
        <f>_xlfn.XLOOKUP(CH16,KEY!$B$3:$B$1000,KEY!$E$3:$E$1000)</f>
        <v>전략기획팀</v>
      </c>
      <c r="CT16" s="45" t="str">
        <f>_xlfn.XLOOKUP(CH16,KEY!$B$3:$B$1000,KEY!$F$3:$F$1000)</f>
        <v>오늘도 퇴근</v>
      </c>
      <c r="CU16" s="2" t="s">
        <v>41</v>
      </c>
      <c r="CV16" s="33">
        <f t="shared" si="18"/>
        <v>14759488</v>
      </c>
      <c r="CW16" s="46" t="str">
        <f>_xlfn.XLOOKUP(CS16,KEY!E:E,KEY!G:G)</f>
        <v>B1200</v>
      </c>
      <c r="CX16" s="46" t="str">
        <f>_xlfn.XLOOKUP(CT16,KEY!F:F,KEY!H:H)</f>
        <v>PN092</v>
      </c>
    </row>
    <row r="17" spans="1:102">
      <c r="A17" s="136" t="s">
        <v>153</v>
      </c>
      <c r="B17" s="130">
        <v>590132</v>
      </c>
      <c r="C17" s="131"/>
      <c r="D17" s="130" t="s">
        <v>385</v>
      </c>
      <c r="E17" s="130" t="s">
        <v>184</v>
      </c>
      <c r="F17" s="130" t="s">
        <v>165</v>
      </c>
      <c r="G17" s="132" t="s">
        <v>166</v>
      </c>
      <c r="H17" s="132" t="s">
        <v>399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Z17" s="132">
        <v>0</v>
      </c>
      <c r="AA17" s="133">
        <v>28714</v>
      </c>
      <c r="AB17" s="133">
        <v>5383700</v>
      </c>
      <c r="AC17" s="133">
        <v>2834135</v>
      </c>
      <c r="AD17" s="132">
        <v>793</v>
      </c>
      <c r="AE17" s="133">
        <v>189000</v>
      </c>
      <c r="AF17" s="133">
        <v>120605</v>
      </c>
      <c r="AG17" s="133">
        <v>21825</v>
      </c>
      <c r="AH17" s="133">
        <v>7023718</v>
      </c>
      <c r="AI17" s="133">
        <v>653200</v>
      </c>
      <c r="AJ17" s="132">
        <v>174</v>
      </c>
      <c r="AK17" s="133">
        <v>58812</v>
      </c>
      <c r="AL17" s="133">
        <v>19400</v>
      </c>
      <c r="AM17" s="133">
        <v>4570</v>
      </c>
      <c r="AN17" s="133">
        <v>1339200</v>
      </c>
      <c r="AO17" s="133">
        <v>25300</v>
      </c>
      <c r="AP17" s="132">
        <v>196</v>
      </c>
      <c r="AQ17" s="133">
        <v>75400</v>
      </c>
      <c r="AR17" s="133">
        <v>4200</v>
      </c>
      <c r="AS17" s="133">
        <v>10277</v>
      </c>
      <c r="AT17" s="133">
        <v>3639751</v>
      </c>
      <c r="AU17" s="133">
        <v>8700</v>
      </c>
      <c r="AV17" s="132">
        <v>180</v>
      </c>
      <c r="AW17" s="133">
        <v>87104</v>
      </c>
      <c r="AX17" s="132">
        <v>800</v>
      </c>
      <c r="AY17" s="133">
        <v>14010</v>
      </c>
      <c r="AZ17" s="133">
        <v>4973640</v>
      </c>
      <c r="BA17" s="133">
        <v>13400</v>
      </c>
      <c r="BB17" s="132">
        <v>241</v>
      </c>
      <c r="BC17" s="133">
        <v>118080</v>
      </c>
      <c r="BD17" s="132">
        <v>0</v>
      </c>
      <c r="BE17" s="132">
        <v>70</v>
      </c>
      <c r="BF17" s="133">
        <v>25080</v>
      </c>
      <c r="BG17" s="132">
        <v>0</v>
      </c>
      <c r="BH17" s="132">
        <v>9</v>
      </c>
      <c r="BI17" s="133">
        <v>4320</v>
      </c>
      <c r="BJ17" s="132">
        <v>0</v>
      </c>
      <c r="BK17" s="132">
        <v>62</v>
      </c>
      <c r="BL17" s="133">
        <v>18500</v>
      </c>
      <c r="BM17" s="132">
        <v>0</v>
      </c>
      <c r="BN17" s="132">
        <v>6</v>
      </c>
      <c r="BO17" s="133">
        <v>2400</v>
      </c>
      <c r="BP17" s="132">
        <v>0</v>
      </c>
      <c r="BQ17" s="132">
        <v>244</v>
      </c>
      <c r="BR17" s="134">
        <v>3170798</v>
      </c>
      <c r="BS17" s="135">
        <v>26618445</v>
      </c>
      <c r="BT17" s="84">
        <f t="shared" si="0"/>
        <v>29400</v>
      </c>
      <c r="BU17" s="84">
        <f t="shared" si="1"/>
        <v>3679740</v>
      </c>
      <c r="BV17" s="84">
        <f t="shared" si="2"/>
        <v>6987300</v>
      </c>
      <c r="BW17" s="84">
        <f t="shared" si="3"/>
        <v>3726855</v>
      </c>
      <c r="BX17" s="84">
        <f t="shared" si="4"/>
        <v>5091720</v>
      </c>
      <c r="BY17" s="84">
        <f t="shared" si="5"/>
        <v>20900</v>
      </c>
      <c r="BZ17" s="84">
        <f t="shared" si="6"/>
        <v>7082530</v>
      </c>
      <c r="CA17" s="84">
        <f t="shared" si="7"/>
        <v>26618445</v>
      </c>
      <c r="CB17" s="84">
        <f t="shared" si="8"/>
        <v>3170798</v>
      </c>
      <c r="CC17" s="84">
        <f t="shared" si="9"/>
        <v>23447647</v>
      </c>
      <c r="CD17" s="85">
        <f t="shared" si="10"/>
        <v>14068588</v>
      </c>
      <c r="CF17" s="6" t="s">
        <v>405</v>
      </c>
      <c r="CG17" s="6" t="str">
        <f t="shared" si="11"/>
        <v>2026-01</v>
      </c>
      <c r="CH17" s="5" t="str">
        <f>_xlfn.XLOOKUP('컨텐츠별 매출 통계'!A17,KEY!$C$3:$C$1000,KEY!$B$3:$B$1000)</f>
        <v>구룡:사로카</v>
      </c>
      <c r="CI17" s="5">
        <f t="shared" si="12"/>
        <v>14068588</v>
      </c>
      <c r="CJ17" s="5">
        <v>0</v>
      </c>
      <c r="CK17" s="5">
        <f t="shared" si="13"/>
        <v>14068588</v>
      </c>
      <c r="CL17" s="5"/>
      <c r="CM17" s="5"/>
      <c r="CN17" s="5">
        <f t="shared" si="14"/>
        <v>14068588</v>
      </c>
      <c r="CO17" s="5">
        <f t="shared" si="15"/>
        <v>0</v>
      </c>
      <c r="CP17" s="5">
        <f t="shared" si="16"/>
        <v>14068588</v>
      </c>
      <c r="CR17" s="45" t="str">
        <f t="shared" si="17"/>
        <v>2026-01월 국내유상이용권 브랜드정산_웹툰&lt;구룡:사로카&gt;</v>
      </c>
      <c r="CS17" s="45" t="str">
        <f>_xlfn.XLOOKUP(CH17,KEY!$B$3:$B$1000,KEY!$E$3:$E$1000)</f>
        <v>팀 MAJOR_메이저</v>
      </c>
      <c r="CT17" s="45" t="str">
        <f>_xlfn.XLOOKUP(CH17,KEY!$B$3:$B$1000,KEY!$F$3:$F$1000)</f>
        <v>구룡:사로카</v>
      </c>
      <c r="CU17" s="2" t="s">
        <v>41</v>
      </c>
      <c r="CV17" s="33">
        <f t="shared" si="18"/>
        <v>14068588</v>
      </c>
      <c r="CW17" s="46" t="str">
        <f>_xlfn.XLOOKUP(CS17,KEY!E:E,KEY!G:G)</f>
        <v>W1700</v>
      </c>
      <c r="CX17" s="46" t="str">
        <f>_xlfn.XLOOKUP(CT17,KEY!F:F,KEY!H:H)</f>
        <v>PN035</v>
      </c>
    </row>
    <row r="18" spans="1:102">
      <c r="A18" s="136" t="s">
        <v>324</v>
      </c>
      <c r="B18" s="130">
        <v>642001</v>
      </c>
      <c r="C18" s="131"/>
      <c r="D18" s="130" t="s">
        <v>385</v>
      </c>
      <c r="E18" s="130" t="s">
        <v>325</v>
      </c>
      <c r="F18" s="130" t="s">
        <v>177</v>
      </c>
      <c r="G18" s="132" t="s">
        <v>166</v>
      </c>
      <c r="H18" s="132" t="s">
        <v>403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Z18" s="132">
        <v>0</v>
      </c>
      <c r="AA18" s="133">
        <v>21055</v>
      </c>
      <c r="AB18" s="133">
        <v>3869760</v>
      </c>
      <c r="AC18" s="133">
        <v>2191770</v>
      </c>
      <c r="AD18" s="133">
        <v>1263</v>
      </c>
      <c r="AE18" s="133">
        <v>361500</v>
      </c>
      <c r="AF18" s="133">
        <v>185115</v>
      </c>
      <c r="AG18" s="133">
        <v>12242</v>
      </c>
      <c r="AH18" s="133">
        <v>4039474</v>
      </c>
      <c r="AI18" s="133">
        <v>281400</v>
      </c>
      <c r="AJ18" s="132">
        <v>77</v>
      </c>
      <c r="AK18" s="133">
        <v>23520</v>
      </c>
      <c r="AL18" s="133">
        <v>9600</v>
      </c>
      <c r="AM18" s="133">
        <v>4419</v>
      </c>
      <c r="AN18" s="133">
        <v>1289500</v>
      </c>
      <c r="AO18" s="133">
        <v>30300</v>
      </c>
      <c r="AP18" s="132">
        <v>352</v>
      </c>
      <c r="AQ18" s="133">
        <v>147700</v>
      </c>
      <c r="AR18" s="133">
        <v>3800</v>
      </c>
      <c r="AS18" s="133">
        <v>17795</v>
      </c>
      <c r="AT18" s="133">
        <v>6224058</v>
      </c>
      <c r="AU18" s="133">
        <v>21000</v>
      </c>
      <c r="AV18" s="132">
        <v>533</v>
      </c>
      <c r="AW18" s="133">
        <v>274316</v>
      </c>
      <c r="AX18" s="133">
        <v>2700</v>
      </c>
      <c r="AY18" s="133">
        <v>8441</v>
      </c>
      <c r="AZ18" s="133">
        <v>2982000</v>
      </c>
      <c r="BA18" s="133">
        <v>12400</v>
      </c>
      <c r="BB18" s="132">
        <v>246</v>
      </c>
      <c r="BC18" s="133">
        <v>133440</v>
      </c>
      <c r="BD18" s="132">
        <v>300</v>
      </c>
      <c r="BE18" s="132">
        <v>20</v>
      </c>
      <c r="BF18" s="133">
        <v>7080</v>
      </c>
      <c r="BG18" s="132">
        <v>0</v>
      </c>
      <c r="BH18" s="132">
        <v>5</v>
      </c>
      <c r="BI18" s="133">
        <v>1920</v>
      </c>
      <c r="BJ18" s="132">
        <v>400</v>
      </c>
      <c r="BK18" s="132">
        <v>420</v>
      </c>
      <c r="BL18" s="133">
        <v>123900</v>
      </c>
      <c r="BM18" s="132">
        <v>0</v>
      </c>
      <c r="BN18" s="132">
        <v>30</v>
      </c>
      <c r="BO18" s="133">
        <v>11600</v>
      </c>
      <c r="BP18" s="132">
        <v>0</v>
      </c>
      <c r="BQ18" s="132">
        <v>0</v>
      </c>
      <c r="BR18" s="134">
        <v>2340224</v>
      </c>
      <c r="BS18" s="135">
        <v>22228553</v>
      </c>
      <c r="BT18" s="84">
        <f t="shared" si="0"/>
        <v>9000</v>
      </c>
      <c r="BU18" s="84">
        <f t="shared" si="1"/>
        <v>2738785</v>
      </c>
      <c r="BV18" s="84">
        <f t="shared" si="2"/>
        <v>5668460</v>
      </c>
      <c r="BW18" s="84">
        <f t="shared" si="3"/>
        <v>6498374</v>
      </c>
      <c r="BX18" s="84">
        <f t="shared" si="4"/>
        <v>3115440</v>
      </c>
      <c r="BY18" s="84">
        <f t="shared" si="5"/>
        <v>135500</v>
      </c>
      <c r="BZ18" s="84">
        <f t="shared" si="6"/>
        <v>4062994</v>
      </c>
      <c r="CA18" s="84">
        <f t="shared" si="7"/>
        <v>22228553</v>
      </c>
      <c r="CB18" s="84">
        <f t="shared" si="8"/>
        <v>2340224</v>
      </c>
      <c r="CC18" s="84">
        <f t="shared" si="9"/>
        <v>19888329</v>
      </c>
      <c r="CD18" s="85">
        <f t="shared" si="10"/>
        <v>11932997</v>
      </c>
      <c r="CF18" s="6" t="s">
        <v>405</v>
      </c>
      <c r="CG18" s="6" t="str">
        <f t="shared" si="11"/>
        <v>2026-01</v>
      </c>
      <c r="CH18" s="5" t="str">
        <f>_xlfn.XLOOKUP('컨텐츠별 매출 통계'!A18,KEY!$C$3:$C$1000,KEY!$B$3:$B$1000)</f>
        <v>십이지소녀</v>
      </c>
      <c r="CI18" s="5">
        <f t="shared" si="12"/>
        <v>11932997</v>
      </c>
      <c r="CJ18" s="5">
        <v>0</v>
      </c>
      <c r="CK18" s="5">
        <f t="shared" si="13"/>
        <v>11932997</v>
      </c>
      <c r="CL18" s="5"/>
      <c r="CM18" s="5"/>
      <c r="CN18" s="5">
        <f t="shared" si="14"/>
        <v>11932997</v>
      </c>
      <c r="CO18" s="5">
        <f t="shared" si="15"/>
        <v>0</v>
      </c>
      <c r="CP18" s="5">
        <f t="shared" si="16"/>
        <v>11932997</v>
      </c>
      <c r="CR18" s="45" t="str">
        <f t="shared" si="17"/>
        <v>2026-01월 국내유상이용권 브랜드정산_웹툰&lt;십이지소녀&gt;</v>
      </c>
      <c r="CS18" s="45" t="str">
        <f>_xlfn.XLOOKUP(CH18,KEY!$B$3:$B$1000,KEY!$E$3:$E$1000)</f>
        <v>팀 MAJOR_메이저</v>
      </c>
      <c r="CT18" s="45" t="str">
        <f>_xlfn.XLOOKUP(CH18,KEY!$B$3:$B$1000,KEY!$F$3:$F$1000)</f>
        <v>12지소녀</v>
      </c>
      <c r="CU18" s="2" t="s">
        <v>41</v>
      </c>
      <c r="CV18" s="33">
        <f t="shared" si="18"/>
        <v>11932997</v>
      </c>
      <c r="CW18" s="46" t="str">
        <f>_xlfn.XLOOKUP(CS18,KEY!E:E,KEY!G:G)</f>
        <v>W1700</v>
      </c>
      <c r="CX18" s="46" t="str">
        <f>_xlfn.XLOOKUP(CT18,KEY!F:F,KEY!H:H)</f>
        <v>PN082</v>
      </c>
    </row>
    <row r="19" spans="1:102">
      <c r="A19" s="136" t="s">
        <v>155</v>
      </c>
      <c r="B19" s="130">
        <v>591459</v>
      </c>
      <c r="C19" s="131"/>
      <c r="D19" s="130" t="s">
        <v>385</v>
      </c>
      <c r="E19" s="130" t="s">
        <v>169</v>
      </c>
      <c r="F19" s="130" t="s">
        <v>169</v>
      </c>
      <c r="G19" s="132" t="s">
        <v>170</v>
      </c>
      <c r="H19" s="132" t="s">
        <v>392</v>
      </c>
      <c r="I19" s="132">
        <v>268</v>
      </c>
      <c r="J19" s="133">
        <v>394954</v>
      </c>
      <c r="K19" s="133">
        <v>80400</v>
      </c>
      <c r="L19" s="132">
        <v>0</v>
      </c>
      <c r="M19" s="132">
        <v>0</v>
      </c>
      <c r="N19" s="132">
        <v>0</v>
      </c>
      <c r="O19" s="132">
        <v>0</v>
      </c>
      <c r="P19" s="132">
        <v>0</v>
      </c>
      <c r="Q19" s="132">
        <v>0</v>
      </c>
      <c r="R19" s="132">
        <v>0</v>
      </c>
      <c r="S19" s="132">
        <v>0</v>
      </c>
      <c r="T19" s="132">
        <v>0</v>
      </c>
      <c r="U19" s="132">
        <v>0</v>
      </c>
      <c r="V19" s="132">
        <v>0</v>
      </c>
      <c r="W19" s="132">
        <v>0</v>
      </c>
      <c r="X19" s="132">
        <v>0</v>
      </c>
      <c r="Y19" s="132">
        <v>0</v>
      </c>
      <c r="Z19" s="132">
        <v>0</v>
      </c>
      <c r="AA19" s="133">
        <v>16420</v>
      </c>
      <c r="AB19" s="133">
        <v>2473200</v>
      </c>
      <c r="AC19" s="133">
        <v>2294910</v>
      </c>
      <c r="AD19" s="132">
        <v>189</v>
      </c>
      <c r="AE19" s="133">
        <v>64000</v>
      </c>
      <c r="AF19" s="133">
        <v>30315</v>
      </c>
      <c r="AG19" s="133">
        <v>11901</v>
      </c>
      <c r="AH19" s="133">
        <v>3709333</v>
      </c>
      <c r="AI19" s="133">
        <v>462700</v>
      </c>
      <c r="AJ19" s="132">
        <v>71</v>
      </c>
      <c r="AK19" s="133">
        <v>27720</v>
      </c>
      <c r="AL19" s="133">
        <v>11900</v>
      </c>
      <c r="AM19" s="133">
        <v>2462</v>
      </c>
      <c r="AN19" s="133">
        <v>719100</v>
      </c>
      <c r="AO19" s="133">
        <v>16300</v>
      </c>
      <c r="AP19" s="132">
        <v>97</v>
      </c>
      <c r="AQ19" s="133">
        <v>49800</v>
      </c>
      <c r="AR19" s="133">
        <v>2000</v>
      </c>
      <c r="AS19" s="133">
        <v>7712</v>
      </c>
      <c r="AT19" s="133">
        <v>2755179</v>
      </c>
      <c r="AU19" s="133">
        <v>7800</v>
      </c>
      <c r="AV19" s="132">
        <v>62</v>
      </c>
      <c r="AW19" s="133">
        <v>37200</v>
      </c>
      <c r="AX19" s="132">
        <v>0</v>
      </c>
      <c r="AY19" s="133">
        <v>18024</v>
      </c>
      <c r="AZ19" s="133">
        <v>6434040</v>
      </c>
      <c r="BA19" s="133">
        <v>16100</v>
      </c>
      <c r="BB19" s="132">
        <v>51</v>
      </c>
      <c r="BC19" s="133">
        <v>31200</v>
      </c>
      <c r="BD19" s="132">
        <v>0</v>
      </c>
      <c r="BE19" s="132">
        <v>324</v>
      </c>
      <c r="BF19" s="133">
        <v>115440</v>
      </c>
      <c r="BG19" s="132">
        <v>0</v>
      </c>
      <c r="BH19" s="132">
        <v>78</v>
      </c>
      <c r="BI19" s="133">
        <v>46080</v>
      </c>
      <c r="BJ19" s="132">
        <v>0</v>
      </c>
      <c r="BK19" s="132">
        <v>75</v>
      </c>
      <c r="BL19" s="133">
        <v>22500</v>
      </c>
      <c r="BM19" s="132">
        <v>0</v>
      </c>
      <c r="BN19" s="132">
        <v>1</v>
      </c>
      <c r="BO19" s="132">
        <v>500</v>
      </c>
      <c r="BP19" s="132">
        <v>0</v>
      </c>
      <c r="BQ19" s="134">
        <v>1767</v>
      </c>
      <c r="BR19" s="134">
        <v>2097727</v>
      </c>
      <c r="BS19" s="135">
        <v>19407717</v>
      </c>
      <c r="BT19" s="84">
        <f t="shared" si="0"/>
        <v>161520</v>
      </c>
      <c r="BU19" s="84">
        <f t="shared" si="1"/>
        <v>2922425</v>
      </c>
      <c r="BV19" s="84">
        <f t="shared" si="2"/>
        <v>3306100</v>
      </c>
      <c r="BW19" s="84">
        <f t="shared" si="3"/>
        <v>2792379</v>
      </c>
      <c r="BX19" s="84">
        <f t="shared" si="4"/>
        <v>6465240</v>
      </c>
      <c r="BY19" s="84">
        <f t="shared" si="5"/>
        <v>23000</v>
      </c>
      <c r="BZ19" s="84">
        <f t="shared" si="6"/>
        <v>3737053</v>
      </c>
      <c r="CA19" s="84">
        <f t="shared" si="7"/>
        <v>19407717</v>
      </c>
      <c r="CB19" s="84">
        <f t="shared" si="8"/>
        <v>2097727</v>
      </c>
      <c r="CC19" s="84">
        <f t="shared" si="9"/>
        <v>17309990</v>
      </c>
      <c r="CD19" s="85">
        <f t="shared" si="10"/>
        <v>10385994</v>
      </c>
      <c r="CF19" s="6" t="s">
        <v>405</v>
      </c>
      <c r="CG19" s="6" t="str">
        <f t="shared" si="11"/>
        <v>2026-01</v>
      </c>
      <c r="CH19" s="5" t="str">
        <f>_xlfn.XLOOKUP('컨텐츠별 매출 통계'!A19,KEY!$C$3:$C$1000,KEY!$B$3:$B$1000)</f>
        <v>밤의 방문자</v>
      </c>
      <c r="CI19" s="5">
        <f t="shared" si="12"/>
        <v>10385994</v>
      </c>
      <c r="CJ19" s="5">
        <v>0</v>
      </c>
      <c r="CK19" s="5">
        <f t="shared" si="13"/>
        <v>10385994</v>
      </c>
      <c r="CL19" s="5"/>
      <c r="CM19" s="5"/>
      <c r="CN19" s="5">
        <f t="shared" si="14"/>
        <v>10385994</v>
      </c>
      <c r="CO19" s="5">
        <f t="shared" si="15"/>
        <v>0</v>
      </c>
      <c r="CP19" s="5">
        <f t="shared" si="16"/>
        <v>10385994</v>
      </c>
      <c r="CR19" s="45" t="str">
        <f t="shared" si="17"/>
        <v>2026-01월 국내유상이용권 브랜드정산_웹툰&lt;밤의 방문자&gt;</v>
      </c>
      <c r="CS19" s="45" t="str">
        <f>_xlfn.XLOOKUP(CH19,KEY!$B$3:$B$1000,KEY!$E$3:$E$1000)</f>
        <v>팀 MUTE_뮤트</v>
      </c>
      <c r="CT19" s="45" t="str">
        <f>_xlfn.XLOOKUP(CH19,KEY!$B$3:$B$1000,KEY!$F$3:$F$1000)</f>
        <v>밤의 방문자</v>
      </c>
      <c r="CU19" s="2" t="s">
        <v>41</v>
      </c>
      <c r="CV19" s="33">
        <f t="shared" si="18"/>
        <v>10385994</v>
      </c>
      <c r="CW19" s="46" t="str">
        <f>_xlfn.XLOOKUP(CS19,KEY!E:E,KEY!G:G)</f>
        <v>W1600</v>
      </c>
      <c r="CX19" s="46" t="str">
        <f>_xlfn.XLOOKUP(CT19,KEY!F:F,KEY!H:H)</f>
        <v>PN053</v>
      </c>
    </row>
    <row r="20" spans="1:102">
      <c r="A20" s="136" t="s">
        <v>158</v>
      </c>
      <c r="B20" s="130">
        <v>595746</v>
      </c>
      <c r="C20" s="131"/>
      <c r="D20" s="130" t="s">
        <v>385</v>
      </c>
      <c r="E20" s="130" t="s">
        <v>176</v>
      </c>
      <c r="F20" s="130" t="s">
        <v>177</v>
      </c>
      <c r="G20" s="132" t="s">
        <v>166</v>
      </c>
      <c r="H20" s="132" t="s">
        <v>403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Z20" s="132">
        <v>0</v>
      </c>
      <c r="AA20" s="133">
        <v>16980</v>
      </c>
      <c r="AB20" s="133">
        <v>3162720</v>
      </c>
      <c r="AC20" s="133">
        <v>1697215</v>
      </c>
      <c r="AD20" s="132">
        <v>189</v>
      </c>
      <c r="AE20" s="133">
        <v>50000</v>
      </c>
      <c r="AF20" s="133">
        <v>28500</v>
      </c>
      <c r="AG20" s="133">
        <v>11775</v>
      </c>
      <c r="AH20" s="133">
        <v>3775495</v>
      </c>
      <c r="AI20" s="133">
        <v>368900</v>
      </c>
      <c r="AJ20" s="132">
        <v>46</v>
      </c>
      <c r="AK20" s="133">
        <v>15348</v>
      </c>
      <c r="AL20" s="133">
        <v>5300</v>
      </c>
      <c r="AM20" s="133">
        <v>3978</v>
      </c>
      <c r="AN20" s="133">
        <v>1165600</v>
      </c>
      <c r="AO20" s="133">
        <v>22700</v>
      </c>
      <c r="AP20" s="132">
        <v>72</v>
      </c>
      <c r="AQ20" s="133">
        <v>27900</v>
      </c>
      <c r="AR20" s="132">
        <v>900</v>
      </c>
      <c r="AS20" s="133">
        <v>5831</v>
      </c>
      <c r="AT20" s="133">
        <v>2062559</v>
      </c>
      <c r="AU20" s="133">
        <v>5600</v>
      </c>
      <c r="AV20" s="132">
        <v>54</v>
      </c>
      <c r="AW20" s="133">
        <v>25532</v>
      </c>
      <c r="AX20" s="132">
        <v>0</v>
      </c>
      <c r="AY20" s="133">
        <v>8564</v>
      </c>
      <c r="AZ20" s="133">
        <v>3045120</v>
      </c>
      <c r="BA20" s="133">
        <v>6700</v>
      </c>
      <c r="BB20" s="132">
        <v>47</v>
      </c>
      <c r="BC20" s="133">
        <v>22800</v>
      </c>
      <c r="BD20" s="132">
        <v>0</v>
      </c>
      <c r="BE20" s="132">
        <v>22</v>
      </c>
      <c r="BF20" s="133">
        <v>7920</v>
      </c>
      <c r="BG20" s="132">
        <v>0</v>
      </c>
      <c r="BH20" s="132">
        <v>0</v>
      </c>
      <c r="BI20" s="132">
        <v>0</v>
      </c>
      <c r="BJ20" s="132">
        <v>0</v>
      </c>
      <c r="BK20" s="132">
        <v>16</v>
      </c>
      <c r="BL20" s="133">
        <v>4800</v>
      </c>
      <c r="BM20" s="132">
        <v>0</v>
      </c>
      <c r="BN20" s="132">
        <v>0</v>
      </c>
      <c r="BO20" s="132">
        <v>0</v>
      </c>
      <c r="BP20" s="132">
        <v>0</v>
      </c>
      <c r="BQ20" s="132">
        <v>0</v>
      </c>
      <c r="BR20" s="134">
        <v>1755715</v>
      </c>
      <c r="BS20" s="135">
        <v>15501609</v>
      </c>
      <c r="BT20" s="84">
        <f t="shared" si="0"/>
        <v>7920</v>
      </c>
      <c r="BU20" s="84">
        <f t="shared" si="1"/>
        <v>2135815</v>
      </c>
      <c r="BV20" s="84">
        <f t="shared" si="2"/>
        <v>4406220</v>
      </c>
      <c r="BW20" s="84">
        <f t="shared" si="3"/>
        <v>2088091</v>
      </c>
      <c r="BX20" s="84">
        <f t="shared" si="4"/>
        <v>3067920</v>
      </c>
      <c r="BY20" s="84">
        <f t="shared" si="5"/>
        <v>4800</v>
      </c>
      <c r="BZ20" s="84">
        <f t="shared" si="6"/>
        <v>3790843</v>
      </c>
      <c r="CA20" s="84">
        <f t="shared" si="7"/>
        <v>15501609</v>
      </c>
      <c r="CB20" s="84">
        <f t="shared" si="8"/>
        <v>1755715</v>
      </c>
      <c r="CC20" s="84">
        <f t="shared" si="9"/>
        <v>13745894</v>
      </c>
      <c r="CD20" s="85">
        <f t="shared" si="10"/>
        <v>8247536</v>
      </c>
      <c r="CF20" s="6" t="s">
        <v>405</v>
      </c>
      <c r="CG20" s="6" t="str">
        <f t="shared" si="11"/>
        <v>2026-01</v>
      </c>
      <c r="CH20" s="5" t="str">
        <f>_xlfn.XLOOKUP('컨텐츠별 매출 통계'!A20,KEY!$C$3:$C$1000,KEY!$B$3:$B$1000)</f>
        <v>최악의 세대</v>
      </c>
      <c r="CI20" s="5">
        <f t="shared" si="12"/>
        <v>8247536</v>
      </c>
      <c r="CJ20" s="5">
        <v>0</v>
      </c>
      <c r="CK20" s="5">
        <f t="shared" si="13"/>
        <v>8247536</v>
      </c>
      <c r="CL20" s="5"/>
      <c r="CM20" s="5"/>
      <c r="CN20" s="5">
        <f t="shared" si="14"/>
        <v>8247536</v>
      </c>
      <c r="CO20" s="5">
        <f t="shared" si="15"/>
        <v>0</v>
      </c>
      <c r="CP20" s="5">
        <f t="shared" si="16"/>
        <v>8247536</v>
      </c>
      <c r="CR20" s="45" t="str">
        <f t="shared" si="17"/>
        <v>2026-01월 국내유상이용권 브랜드정산_웹툰&lt;최악의 세대&gt;</v>
      </c>
      <c r="CS20" s="45" t="str">
        <f>_xlfn.XLOOKUP(CH20,KEY!$B$3:$B$1000,KEY!$E$3:$E$1000)</f>
        <v>팀 MAJOR_메이저</v>
      </c>
      <c r="CT20" s="45" t="str">
        <f>_xlfn.XLOOKUP(CH20,KEY!$B$3:$B$1000,KEY!$F$3:$F$1000)</f>
        <v>최악의 세대</v>
      </c>
      <c r="CU20" s="2" t="s">
        <v>41</v>
      </c>
      <c r="CV20" s="33">
        <f t="shared" si="18"/>
        <v>8247536</v>
      </c>
      <c r="CW20" s="46" t="str">
        <f>_xlfn.XLOOKUP(CS20,KEY!E:E,KEY!G:G)</f>
        <v>W1700</v>
      </c>
      <c r="CX20" s="46" t="str">
        <f>_xlfn.XLOOKUP(CT20,KEY!F:F,KEY!H:H)</f>
        <v>PN066</v>
      </c>
    </row>
    <row r="21" spans="1:102">
      <c r="A21" s="136" t="s">
        <v>160</v>
      </c>
      <c r="B21" s="130">
        <v>598352</v>
      </c>
      <c r="C21" s="131"/>
      <c r="D21" s="130" t="s">
        <v>385</v>
      </c>
      <c r="E21" s="130" t="s">
        <v>180</v>
      </c>
      <c r="F21" s="130" t="s">
        <v>177</v>
      </c>
      <c r="G21" s="132" t="s">
        <v>166</v>
      </c>
      <c r="H21" s="132" t="s">
        <v>401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Z21" s="132">
        <v>0</v>
      </c>
      <c r="AA21" s="133">
        <v>15277</v>
      </c>
      <c r="AB21" s="133">
        <v>3173720</v>
      </c>
      <c r="AC21" s="133">
        <v>1243025</v>
      </c>
      <c r="AD21" s="132">
        <v>210</v>
      </c>
      <c r="AE21" s="133">
        <v>59500</v>
      </c>
      <c r="AF21" s="133">
        <v>23005</v>
      </c>
      <c r="AG21" s="133">
        <v>9917</v>
      </c>
      <c r="AH21" s="133">
        <v>3318112</v>
      </c>
      <c r="AI21" s="133">
        <v>202000</v>
      </c>
      <c r="AJ21" s="132">
        <v>39</v>
      </c>
      <c r="AK21" s="133">
        <v>15360</v>
      </c>
      <c r="AL21" s="133">
        <v>2800</v>
      </c>
      <c r="AM21" s="133">
        <v>3742</v>
      </c>
      <c r="AN21" s="133">
        <v>1095900</v>
      </c>
      <c r="AO21" s="133">
        <v>22500</v>
      </c>
      <c r="AP21" s="132">
        <v>122</v>
      </c>
      <c r="AQ21" s="133">
        <v>50100</v>
      </c>
      <c r="AR21" s="132">
        <v>600</v>
      </c>
      <c r="AS21" s="133">
        <v>7399</v>
      </c>
      <c r="AT21" s="133">
        <v>2621074</v>
      </c>
      <c r="AU21" s="133">
        <v>6700</v>
      </c>
      <c r="AV21" s="132">
        <v>71</v>
      </c>
      <c r="AW21" s="133">
        <v>39336</v>
      </c>
      <c r="AX21" s="132">
        <v>300</v>
      </c>
      <c r="AY21" s="133">
        <v>9535</v>
      </c>
      <c r="AZ21" s="133">
        <v>3388440</v>
      </c>
      <c r="BA21" s="133">
        <v>8400</v>
      </c>
      <c r="BB21" s="132">
        <v>104</v>
      </c>
      <c r="BC21" s="133">
        <v>51720</v>
      </c>
      <c r="BD21" s="132">
        <v>0</v>
      </c>
      <c r="BE21" s="132">
        <v>8</v>
      </c>
      <c r="BF21" s="133">
        <v>2880</v>
      </c>
      <c r="BG21" s="132">
        <v>0</v>
      </c>
      <c r="BH21" s="132">
        <v>4</v>
      </c>
      <c r="BI21" s="133">
        <v>1920</v>
      </c>
      <c r="BJ21" s="132">
        <v>0</v>
      </c>
      <c r="BK21" s="132">
        <v>30</v>
      </c>
      <c r="BL21" s="133">
        <v>8800</v>
      </c>
      <c r="BM21" s="132">
        <v>0</v>
      </c>
      <c r="BN21" s="132">
        <v>3</v>
      </c>
      <c r="BO21" s="133">
        <v>1200</v>
      </c>
      <c r="BP21" s="132">
        <v>0</v>
      </c>
      <c r="BQ21" s="132">
        <v>120</v>
      </c>
      <c r="BR21" s="134">
        <v>1708954</v>
      </c>
      <c r="BS21" s="135">
        <v>15337392</v>
      </c>
      <c r="BT21" s="84">
        <f t="shared" si="0"/>
        <v>4800</v>
      </c>
      <c r="BU21" s="84">
        <f t="shared" si="1"/>
        <v>1509330</v>
      </c>
      <c r="BV21" s="84">
        <f t="shared" si="2"/>
        <v>4379220</v>
      </c>
      <c r="BW21" s="84">
        <f t="shared" si="3"/>
        <v>2660410</v>
      </c>
      <c r="BX21" s="84">
        <f t="shared" si="4"/>
        <v>3440160</v>
      </c>
      <c r="BY21" s="84">
        <f t="shared" si="5"/>
        <v>10000</v>
      </c>
      <c r="BZ21" s="84">
        <f t="shared" si="6"/>
        <v>3333472</v>
      </c>
      <c r="CA21" s="84">
        <f t="shared" si="7"/>
        <v>15337392</v>
      </c>
      <c r="CB21" s="84">
        <f t="shared" si="8"/>
        <v>1708954</v>
      </c>
      <c r="CC21" s="84">
        <f t="shared" si="9"/>
        <v>13628438</v>
      </c>
      <c r="CD21" s="85">
        <f t="shared" si="10"/>
        <v>8177063</v>
      </c>
      <c r="CF21" s="6" t="s">
        <v>405</v>
      </c>
      <c r="CG21" s="6" t="str">
        <f t="shared" si="11"/>
        <v>2026-01</v>
      </c>
      <c r="CH21" s="5" t="str">
        <f>_xlfn.XLOOKUP('컨텐츠별 매출 통계'!A21,KEY!$C$3:$C$1000,KEY!$B$3:$B$1000)</f>
        <v>남제</v>
      </c>
      <c r="CI21" s="5">
        <f t="shared" si="12"/>
        <v>8177063</v>
      </c>
      <c r="CJ21" s="5">
        <v>0</v>
      </c>
      <c r="CK21" s="5">
        <f t="shared" si="13"/>
        <v>8177063</v>
      </c>
      <c r="CL21" s="5"/>
      <c r="CM21" s="5"/>
      <c r="CN21" s="5">
        <f t="shared" si="14"/>
        <v>8177063</v>
      </c>
      <c r="CO21" s="5">
        <f t="shared" si="15"/>
        <v>0</v>
      </c>
      <c r="CP21" s="5">
        <f t="shared" si="16"/>
        <v>8177063</v>
      </c>
      <c r="CR21" s="45" t="str">
        <f t="shared" si="17"/>
        <v>2026-01월 국내유상이용권 브랜드정산_웹툰&lt;남제&gt;</v>
      </c>
      <c r="CS21" s="45" t="str">
        <f>_xlfn.XLOOKUP(CH21,KEY!$B$3:$B$1000,KEY!$E$3:$E$1000)</f>
        <v>팀 MAJOR_메이저</v>
      </c>
      <c r="CT21" s="45" t="str">
        <f>_xlfn.XLOOKUP(CH21,KEY!$B$3:$B$1000,KEY!$F$3:$F$1000)</f>
        <v>남제</v>
      </c>
      <c r="CU21" s="2" t="s">
        <v>41</v>
      </c>
      <c r="CV21" s="33">
        <f t="shared" si="18"/>
        <v>8177063</v>
      </c>
      <c r="CW21" s="46" t="str">
        <f>_xlfn.XLOOKUP(CS21,KEY!E:E,KEY!G:G)</f>
        <v>W1700</v>
      </c>
      <c r="CX21" s="46" t="str">
        <f>_xlfn.XLOOKUP(CT21,KEY!F:F,KEY!H:H)</f>
        <v>PN063</v>
      </c>
    </row>
    <row r="22" spans="1:102">
      <c r="A22" s="136" t="s">
        <v>320</v>
      </c>
      <c r="B22" s="130">
        <v>629975</v>
      </c>
      <c r="C22" s="131"/>
      <c r="D22" s="130" t="s">
        <v>385</v>
      </c>
      <c r="E22" s="130" t="s">
        <v>321</v>
      </c>
      <c r="F22" s="130" t="s">
        <v>322</v>
      </c>
      <c r="G22" s="132" t="s">
        <v>166</v>
      </c>
      <c r="H22" s="132" t="s">
        <v>399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Z22" s="132">
        <v>0</v>
      </c>
      <c r="AA22" s="133">
        <v>14889</v>
      </c>
      <c r="AB22" s="133">
        <v>2714420</v>
      </c>
      <c r="AC22" s="133">
        <v>1538945</v>
      </c>
      <c r="AD22" s="132">
        <v>209</v>
      </c>
      <c r="AE22" s="133">
        <v>61500</v>
      </c>
      <c r="AF22" s="133">
        <v>34105</v>
      </c>
      <c r="AG22" s="133">
        <v>8129</v>
      </c>
      <c r="AH22" s="133">
        <v>2677453</v>
      </c>
      <c r="AI22" s="133">
        <v>196000</v>
      </c>
      <c r="AJ22" s="132">
        <v>7</v>
      </c>
      <c r="AK22" s="132">
        <v>0</v>
      </c>
      <c r="AL22" s="133">
        <v>2600</v>
      </c>
      <c r="AM22" s="133">
        <v>5846</v>
      </c>
      <c r="AN22" s="133">
        <v>1710800</v>
      </c>
      <c r="AO22" s="133">
        <v>35000</v>
      </c>
      <c r="AP22" s="132">
        <v>84</v>
      </c>
      <c r="AQ22" s="133">
        <v>35800</v>
      </c>
      <c r="AR22" s="133">
        <v>1200</v>
      </c>
      <c r="AS22" s="133">
        <v>8218</v>
      </c>
      <c r="AT22" s="133">
        <v>2906764</v>
      </c>
      <c r="AU22" s="133">
        <v>6700</v>
      </c>
      <c r="AV22" s="132">
        <v>50</v>
      </c>
      <c r="AW22" s="133">
        <v>30400</v>
      </c>
      <c r="AX22" s="132">
        <v>0</v>
      </c>
      <c r="AY22" s="133">
        <v>8782</v>
      </c>
      <c r="AZ22" s="133">
        <v>3127200</v>
      </c>
      <c r="BA22" s="133">
        <v>4200</v>
      </c>
      <c r="BB22" s="132">
        <v>55</v>
      </c>
      <c r="BC22" s="133">
        <v>28320</v>
      </c>
      <c r="BD22" s="132">
        <v>400</v>
      </c>
      <c r="BE22" s="132">
        <v>19</v>
      </c>
      <c r="BF22" s="133">
        <v>6840</v>
      </c>
      <c r="BG22" s="132">
        <v>0</v>
      </c>
      <c r="BH22" s="132">
        <v>4</v>
      </c>
      <c r="BI22" s="133">
        <v>1920</v>
      </c>
      <c r="BJ22" s="132">
        <v>0</v>
      </c>
      <c r="BK22" s="132">
        <v>18</v>
      </c>
      <c r="BL22" s="133">
        <v>5200</v>
      </c>
      <c r="BM22" s="132">
        <v>0</v>
      </c>
      <c r="BN22" s="132">
        <v>0</v>
      </c>
      <c r="BO22" s="132">
        <v>0</v>
      </c>
      <c r="BP22" s="132">
        <v>0</v>
      </c>
      <c r="BQ22" s="132">
        <v>0</v>
      </c>
      <c r="BR22" s="134">
        <v>1518105.5</v>
      </c>
      <c r="BS22" s="135">
        <v>15125767</v>
      </c>
      <c r="BT22" s="84">
        <f t="shared" si="0"/>
        <v>8760</v>
      </c>
      <c r="BU22" s="84">
        <f t="shared" si="1"/>
        <v>1819150</v>
      </c>
      <c r="BV22" s="84">
        <f t="shared" si="2"/>
        <v>4522520</v>
      </c>
      <c r="BW22" s="84">
        <f t="shared" si="3"/>
        <v>2937164</v>
      </c>
      <c r="BX22" s="84">
        <f t="shared" si="4"/>
        <v>3155520</v>
      </c>
      <c r="BY22" s="84">
        <f t="shared" si="5"/>
        <v>5200</v>
      </c>
      <c r="BZ22" s="84">
        <f t="shared" si="6"/>
        <v>2677453</v>
      </c>
      <c r="CA22" s="84">
        <f t="shared" si="7"/>
        <v>15125767</v>
      </c>
      <c r="CB22" s="84">
        <f t="shared" si="8"/>
        <v>1518106</v>
      </c>
      <c r="CC22" s="84">
        <f t="shared" si="9"/>
        <v>13607661</v>
      </c>
      <c r="CD22" s="85">
        <f t="shared" si="10"/>
        <v>8164597</v>
      </c>
      <c r="CF22" s="6" t="s">
        <v>405</v>
      </c>
      <c r="CG22" s="6" t="str">
        <f t="shared" si="11"/>
        <v>2026-01</v>
      </c>
      <c r="CH22" s="5" t="str">
        <f>_xlfn.XLOOKUP('컨텐츠별 매출 통계'!A22,KEY!$C$3:$C$1000,KEY!$B$3:$B$1000)</f>
        <v>레벨999고블린</v>
      </c>
      <c r="CI22" s="5">
        <f t="shared" si="12"/>
        <v>8164597</v>
      </c>
      <c r="CJ22" s="5">
        <v>0</v>
      </c>
      <c r="CK22" s="5">
        <f t="shared" si="13"/>
        <v>8164597</v>
      </c>
      <c r="CL22" s="5"/>
      <c r="CM22" s="5"/>
      <c r="CN22" s="5">
        <f t="shared" si="14"/>
        <v>8164597</v>
      </c>
      <c r="CO22" s="5">
        <f t="shared" si="15"/>
        <v>0</v>
      </c>
      <c r="CP22" s="5">
        <f t="shared" si="16"/>
        <v>8164597</v>
      </c>
      <c r="CR22" s="45" t="str">
        <f t="shared" si="17"/>
        <v>2026-01월 국내유상이용권 브랜드정산_웹툰&lt;레벨999고블린&gt;</v>
      </c>
      <c r="CS22" s="45" t="str">
        <f>_xlfn.XLOOKUP(CH22,KEY!$B$3:$B$1000,KEY!$E$3:$E$1000)</f>
        <v>팀 유호빈</v>
      </c>
      <c r="CT22" s="45" t="str">
        <f>_xlfn.XLOOKUP(CH22,KEY!$B$3:$B$1000,KEY!$F$3:$F$1000)</f>
        <v>만렙고블린/레벨999고블린(가제)</v>
      </c>
      <c r="CU22" s="2" t="s">
        <v>41</v>
      </c>
      <c r="CV22" s="33">
        <f t="shared" si="18"/>
        <v>8164597</v>
      </c>
      <c r="CW22" s="46" t="str">
        <f>_xlfn.XLOOKUP(CS22,KEY!E:E,KEY!G:G)</f>
        <v>W1200</v>
      </c>
      <c r="CX22" s="46" t="str">
        <f>_xlfn.XLOOKUP(CT22,KEY!F:F,KEY!H:H)</f>
        <v>PN085</v>
      </c>
    </row>
    <row r="23" spans="1:102">
      <c r="A23" s="136" t="s">
        <v>360</v>
      </c>
      <c r="B23" s="130">
        <v>656046</v>
      </c>
      <c r="C23" s="131"/>
      <c r="D23" s="130" t="s">
        <v>385</v>
      </c>
      <c r="E23" s="130" t="s">
        <v>361</v>
      </c>
      <c r="F23" s="130" t="s">
        <v>362</v>
      </c>
      <c r="G23" s="132" t="s">
        <v>166</v>
      </c>
      <c r="H23" s="132" t="s">
        <v>404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Z23" s="132">
        <v>0</v>
      </c>
      <c r="AA23" s="133">
        <v>13740</v>
      </c>
      <c r="AB23" s="133">
        <v>2615720</v>
      </c>
      <c r="AC23" s="133">
        <v>1341680</v>
      </c>
      <c r="AD23" s="132">
        <v>67</v>
      </c>
      <c r="AE23" s="133">
        <v>16400</v>
      </c>
      <c r="AF23" s="133">
        <v>11095</v>
      </c>
      <c r="AG23" s="133">
        <v>9908</v>
      </c>
      <c r="AH23" s="133">
        <v>3223145</v>
      </c>
      <c r="AI23" s="133">
        <v>275000</v>
      </c>
      <c r="AJ23" s="132">
        <v>14</v>
      </c>
      <c r="AK23" s="133">
        <v>5280</v>
      </c>
      <c r="AL23" s="133">
        <v>1200</v>
      </c>
      <c r="AM23" s="133">
        <v>2698</v>
      </c>
      <c r="AN23" s="133">
        <v>789300</v>
      </c>
      <c r="AO23" s="133">
        <v>17100</v>
      </c>
      <c r="AP23" s="132">
        <v>30</v>
      </c>
      <c r="AQ23" s="133">
        <v>17200</v>
      </c>
      <c r="AR23" s="132">
        <v>700</v>
      </c>
      <c r="AS23" s="133">
        <v>6249</v>
      </c>
      <c r="AT23" s="133">
        <v>2218402</v>
      </c>
      <c r="AU23" s="133">
        <v>3700</v>
      </c>
      <c r="AV23" s="132">
        <v>26</v>
      </c>
      <c r="AW23" s="133">
        <v>13440</v>
      </c>
      <c r="AX23" s="132">
        <v>0</v>
      </c>
      <c r="AY23" s="133">
        <v>7790</v>
      </c>
      <c r="AZ23" s="133">
        <v>2773920</v>
      </c>
      <c r="BA23" s="133">
        <v>4800</v>
      </c>
      <c r="BB23" s="132">
        <v>40</v>
      </c>
      <c r="BC23" s="133">
        <v>21000</v>
      </c>
      <c r="BD23" s="132">
        <v>0</v>
      </c>
      <c r="BE23" s="132">
        <v>2</v>
      </c>
      <c r="BF23" s="132">
        <v>720</v>
      </c>
      <c r="BG23" s="132">
        <v>0</v>
      </c>
      <c r="BH23" s="132">
        <v>0</v>
      </c>
      <c r="BI23" s="132">
        <v>0</v>
      </c>
      <c r="BJ23" s="132">
        <v>0</v>
      </c>
      <c r="BK23" s="132">
        <v>39</v>
      </c>
      <c r="BL23" s="133">
        <v>11700</v>
      </c>
      <c r="BM23" s="132">
        <v>0</v>
      </c>
      <c r="BN23" s="132">
        <v>6</v>
      </c>
      <c r="BO23" s="133">
        <v>2400</v>
      </c>
      <c r="BP23" s="132">
        <v>0</v>
      </c>
      <c r="BQ23" s="132">
        <v>0</v>
      </c>
      <c r="BR23" s="134">
        <v>1548585.7</v>
      </c>
      <c r="BS23" s="135">
        <v>13363902</v>
      </c>
      <c r="BT23" s="84">
        <f t="shared" si="0"/>
        <v>720</v>
      </c>
      <c r="BU23" s="84">
        <f t="shared" si="1"/>
        <v>1655275</v>
      </c>
      <c r="BV23" s="84">
        <f t="shared" si="2"/>
        <v>3438620</v>
      </c>
      <c r="BW23" s="84">
        <f t="shared" si="3"/>
        <v>2231842</v>
      </c>
      <c r="BX23" s="84">
        <f t="shared" si="4"/>
        <v>2794920</v>
      </c>
      <c r="BY23" s="84">
        <f t="shared" si="5"/>
        <v>14100</v>
      </c>
      <c r="BZ23" s="84">
        <f t="shared" si="6"/>
        <v>3228425</v>
      </c>
      <c r="CA23" s="84">
        <f t="shared" si="7"/>
        <v>13363902</v>
      </c>
      <c r="CB23" s="84">
        <f t="shared" si="8"/>
        <v>1548586</v>
      </c>
      <c r="CC23" s="84">
        <f t="shared" si="9"/>
        <v>11815316</v>
      </c>
      <c r="CD23" s="85">
        <f t="shared" si="10"/>
        <v>7089190</v>
      </c>
      <c r="CF23" s="6" t="s">
        <v>405</v>
      </c>
      <c r="CG23" s="6" t="str">
        <f t="shared" si="11"/>
        <v>2026-01</v>
      </c>
      <c r="CH23" s="5" t="str">
        <f>_xlfn.XLOOKUP('컨텐츠별 매출 통계'!A23,KEY!$C$3:$C$1000,KEY!$B$3:$B$1000)</f>
        <v>악귀나찰</v>
      </c>
      <c r="CI23" s="5">
        <f t="shared" si="12"/>
        <v>7089190</v>
      </c>
      <c r="CJ23" s="5">
        <v>0</v>
      </c>
      <c r="CK23" s="5">
        <f t="shared" si="13"/>
        <v>7089190</v>
      </c>
      <c r="CL23" s="5"/>
      <c r="CM23" s="5"/>
      <c r="CN23" s="5">
        <f t="shared" si="14"/>
        <v>7089190</v>
      </c>
      <c r="CO23" s="5">
        <f t="shared" si="15"/>
        <v>0</v>
      </c>
      <c r="CP23" s="5">
        <f t="shared" si="16"/>
        <v>7089190</v>
      </c>
      <c r="CR23" s="45" t="str">
        <f t="shared" si="17"/>
        <v>2026-01월 국내유상이용권 브랜드정산_웹툰&lt;악귀나찰&gt;</v>
      </c>
      <c r="CS23" s="45" t="str">
        <f>_xlfn.XLOOKUP(CH23,KEY!$B$3:$B$1000,KEY!$E$3:$E$1000)</f>
        <v>팀 숭늉</v>
      </c>
      <c r="CT23" s="45" t="str">
        <f>_xlfn.XLOOKUP(CH23,KEY!$B$3:$B$1000,KEY!$F$3:$F$1000)</f>
        <v>악귀나찰(먹뀌싸2)</v>
      </c>
      <c r="CU23" s="2" t="s">
        <v>41</v>
      </c>
      <c r="CV23" s="33">
        <f t="shared" si="18"/>
        <v>7089190</v>
      </c>
      <c r="CW23" s="46" t="str">
        <f>_xlfn.XLOOKUP(CS23,KEY!E:E,KEY!G:G)</f>
        <v>W1500</v>
      </c>
      <c r="CX23" s="46" t="str">
        <f>_xlfn.XLOOKUP(CT23,KEY!F:F,KEY!H:H)</f>
        <v>PN095</v>
      </c>
    </row>
    <row r="24" spans="1:102">
      <c r="A24" s="136" t="s">
        <v>352</v>
      </c>
      <c r="B24" s="130">
        <v>642007</v>
      </c>
      <c r="C24" s="131"/>
      <c r="D24" s="130" t="s">
        <v>385</v>
      </c>
      <c r="E24" s="130" t="s">
        <v>201</v>
      </c>
      <c r="F24" s="130" t="s">
        <v>201</v>
      </c>
      <c r="G24" s="132" t="s">
        <v>166</v>
      </c>
      <c r="H24" s="132" t="s">
        <v>398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3">
        <v>14029</v>
      </c>
      <c r="AB24" s="133">
        <v>2311200</v>
      </c>
      <c r="AC24" s="133">
        <v>1661175</v>
      </c>
      <c r="AD24" s="133">
        <v>1945</v>
      </c>
      <c r="AE24" s="133">
        <v>465700</v>
      </c>
      <c r="AF24" s="133">
        <v>342495</v>
      </c>
      <c r="AG24" s="133">
        <v>3894</v>
      </c>
      <c r="AH24" s="133">
        <v>1216915</v>
      </c>
      <c r="AI24" s="133">
        <v>143400</v>
      </c>
      <c r="AJ24" s="132">
        <v>188</v>
      </c>
      <c r="AK24" s="133">
        <v>41840</v>
      </c>
      <c r="AL24" s="133">
        <v>38000</v>
      </c>
      <c r="AM24" s="133">
        <v>4285</v>
      </c>
      <c r="AN24" s="133">
        <v>1255200</v>
      </c>
      <c r="AO24" s="133">
        <v>23800</v>
      </c>
      <c r="AP24" s="132">
        <v>722</v>
      </c>
      <c r="AQ24" s="133">
        <v>311100</v>
      </c>
      <c r="AR24" s="133">
        <v>9300</v>
      </c>
      <c r="AS24" s="133">
        <v>6754</v>
      </c>
      <c r="AT24" s="133">
        <v>2369037</v>
      </c>
      <c r="AU24" s="133">
        <v>6800</v>
      </c>
      <c r="AV24" s="132">
        <v>436</v>
      </c>
      <c r="AW24" s="133">
        <v>222600</v>
      </c>
      <c r="AX24" s="132">
        <v>400</v>
      </c>
      <c r="AY24" s="133">
        <v>5875</v>
      </c>
      <c r="AZ24" s="133">
        <v>2069280</v>
      </c>
      <c r="BA24" s="133">
        <v>11300</v>
      </c>
      <c r="BB24" s="132">
        <v>425</v>
      </c>
      <c r="BC24" s="133">
        <v>208920</v>
      </c>
      <c r="BD24" s="133">
        <v>1000</v>
      </c>
      <c r="BE24" s="132">
        <v>5</v>
      </c>
      <c r="BF24" s="133">
        <v>1800</v>
      </c>
      <c r="BG24" s="132">
        <v>0</v>
      </c>
      <c r="BH24" s="132">
        <v>12</v>
      </c>
      <c r="BI24" s="133">
        <v>5760</v>
      </c>
      <c r="BJ24" s="132">
        <v>0</v>
      </c>
      <c r="BK24" s="132">
        <v>107</v>
      </c>
      <c r="BL24" s="133">
        <v>30800</v>
      </c>
      <c r="BM24" s="132">
        <v>0</v>
      </c>
      <c r="BN24" s="132">
        <v>1</v>
      </c>
      <c r="BO24" s="132">
        <v>400</v>
      </c>
      <c r="BP24" s="132">
        <v>0</v>
      </c>
      <c r="BQ24" s="132">
        <v>130</v>
      </c>
      <c r="BR24" s="134">
        <v>977405.1</v>
      </c>
      <c r="BS24" s="135">
        <v>12748222</v>
      </c>
      <c r="BT24" s="84">
        <f t="shared" si="0"/>
        <v>7560</v>
      </c>
      <c r="BU24" s="84">
        <f t="shared" si="1"/>
        <v>2237670</v>
      </c>
      <c r="BV24" s="84">
        <f t="shared" si="2"/>
        <v>4343200</v>
      </c>
      <c r="BW24" s="84">
        <f t="shared" si="3"/>
        <v>2591637</v>
      </c>
      <c r="BX24" s="84">
        <f t="shared" si="4"/>
        <v>2278200</v>
      </c>
      <c r="BY24" s="84">
        <f t="shared" si="5"/>
        <v>31200</v>
      </c>
      <c r="BZ24" s="84">
        <f t="shared" si="6"/>
        <v>1258755</v>
      </c>
      <c r="CA24" s="84">
        <f t="shared" si="7"/>
        <v>12748222</v>
      </c>
      <c r="CB24" s="84">
        <f t="shared" si="8"/>
        <v>977405</v>
      </c>
      <c r="CC24" s="84">
        <f t="shared" si="9"/>
        <v>11770817</v>
      </c>
      <c r="CD24" s="85">
        <f t="shared" si="10"/>
        <v>7062490</v>
      </c>
      <c r="CF24" s="6" t="s">
        <v>405</v>
      </c>
      <c r="CG24" s="6" t="str">
        <f t="shared" si="11"/>
        <v>2026-01</v>
      </c>
      <c r="CH24" s="5" t="str">
        <f>_xlfn.XLOOKUP('컨텐츠별 매출 통계'!A24,KEY!$C$3:$C$1000,KEY!$B$3:$B$1000)</f>
        <v>용사생활기록부</v>
      </c>
      <c r="CI24" s="5">
        <f t="shared" si="12"/>
        <v>7062490</v>
      </c>
      <c r="CJ24" s="5">
        <v>0</v>
      </c>
      <c r="CK24" s="5">
        <f t="shared" si="13"/>
        <v>7062490</v>
      </c>
      <c r="CL24" s="5"/>
      <c r="CM24" s="5"/>
      <c r="CN24" s="5">
        <f t="shared" si="14"/>
        <v>7062490</v>
      </c>
      <c r="CO24" s="5">
        <f t="shared" si="15"/>
        <v>0</v>
      </c>
      <c r="CP24" s="5">
        <f t="shared" si="16"/>
        <v>7062490</v>
      </c>
      <c r="CR24" s="45" t="str">
        <f t="shared" si="17"/>
        <v>2026-01월 국내유상이용권 브랜드정산_웹툰&lt;용사생활기록부&gt;</v>
      </c>
      <c r="CS24" s="45" t="str">
        <f>_xlfn.XLOOKUP(CH24,KEY!$B$3:$B$1000,KEY!$E$3:$E$1000)</f>
        <v>전략기획팀</v>
      </c>
      <c r="CT24" s="45" t="str">
        <f>_xlfn.XLOOKUP(CH24,KEY!$B$3:$B$1000,KEY!$F$3:$F$1000)</f>
        <v>용사생활기록부</v>
      </c>
      <c r="CU24" s="2" t="s">
        <v>41</v>
      </c>
      <c r="CV24" s="33">
        <f t="shared" si="18"/>
        <v>7062490</v>
      </c>
      <c r="CW24" s="46" t="str">
        <f>_xlfn.XLOOKUP(CS24,KEY!E:E,KEY!G:G)</f>
        <v>B1200</v>
      </c>
      <c r="CX24" s="46" t="str">
        <f>_xlfn.XLOOKUP(CT24,KEY!F:F,KEY!H:H)</f>
        <v>PN111</v>
      </c>
    </row>
    <row r="25" spans="1:102">
      <c r="A25" s="136" t="s">
        <v>107</v>
      </c>
      <c r="B25" s="130">
        <v>449359</v>
      </c>
      <c r="C25" s="131"/>
      <c r="D25" s="130" t="s">
        <v>385</v>
      </c>
      <c r="E25" s="130" t="s">
        <v>172</v>
      </c>
      <c r="F25" s="130" t="s">
        <v>165</v>
      </c>
      <c r="G25" s="132" t="s">
        <v>166</v>
      </c>
      <c r="H25" s="132" t="s">
        <v>173</v>
      </c>
      <c r="I25" s="132">
        <v>0</v>
      </c>
      <c r="J25" s="133">
        <v>208338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Z25" s="132">
        <v>0</v>
      </c>
      <c r="AA25" s="133">
        <v>6379</v>
      </c>
      <c r="AB25" s="133">
        <v>916900</v>
      </c>
      <c r="AC25" s="133">
        <v>939685</v>
      </c>
      <c r="AD25" s="132">
        <v>592</v>
      </c>
      <c r="AE25" s="133">
        <v>243800</v>
      </c>
      <c r="AF25" s="133">
        <v>48640</v>
      </c>
      <c r="AG25" s="133">
        <v>5999</v>
      </c>
      <c r="AH25" s="133">
        <v>1876338</v>
      </c>
      <c r="AI25" s="133">
        <v>231500</v>
      </c>
      <c r="AJ25" s="132">
        <v>214</v>
      </c>
      <c r="AK25" s="133">
        <v>99960</v>
      </c>
      <c r="AL25" s="133">
        <v>1700</v>
      </c>
      <c r="AM25" s="132">
        <v>610</v>
      </c>
      <c r="AN25" s="133">
        <v>175900</v>
      </c>
      <c r="AO25" s="133">
        <v>6300</v>
      </c>
      <c r="AP25" s="132">
        <v>26</v>
      </c>
      <c r="AQ25" s="133">
        <v>22300</v>
      </c>
      <c r="AR25" s="132">
        <v>0</v>
      </c>
      <c r="AS25" s="133">
        <v>7805</v>
      </c>
      <c r="AT25" s="133">
        <v>2766010</v>
      </c>
      <c r="AU25" s="133">
        <v>6600</v>
      </c>
      <c r="AV25" s="132">
        <v>233</v>
      </c>
      <c r="AW25" s="133">
        <v>237560</v>
      </c>
      <c r="AX25" s="132">
        <v>0</v>
      </c>
      <c r="AY25" s="133">
        <v>4535</v>
      </c>
      <c r="AZ25" s="133">
        <v>1621080</v>
      </c>
      <c r="BA25" s="133">
        <v>1000</v>
      </c>
      <c r="BB25" s="132">
        <v>168</v>
      </c>
      <c r="BC25" s="133">
        <v>91560</v>
      </c>
      <c r="BD25" s="132">
        <v>0</v>
      </c>
      <c r="BE25" s="132">
        <v>7</v>
      </c>
      <c r="BF25" s="133">
        <v>2520</v>
      </c>
      <c r="BG25" s="132">
        <v>0</v>
      </c>
      <c r="BH25" s="132">
        <v>0</v>
      </c>
      <c r="BI25" s="132">
        <v>0</v>
      </c>
      <c r="BJ25" s="132">
        <v>0</v>
      </c>
      <c r="BK25" s="132">
        <v>455</v>
      </c>
      <c r="BL25" s="133">
        <v>135700</v>
      </c>
      <c r="BM25" s="132">
        <v>0</v>
      </c>
      <c r="BN25" s="132">
        <v>0</v>
      </c>
      <c r="BO25" s="132">
        <v>0</v>
      </c>
      <c r="BP25" s="132">
        <v>0</v>
      </c>
      <c r="BQ25" s="132">
        <v>36</v>
      </c>
      <c r="BR25" s="134">
        <v>1108706.5</v>
      </c>
      <c r="BS25" s="135">
        <v>9425053</v>
      </c>
      <c r="BT25" s="84">
        <f t="shared" si="0"/>
        <v>2520</v>
      </c>
      <c r="BU25" s="84">
        <f t="shared" si="1"/>
        <v>1235425</v>
      </c>
      <c r="BV25" s="84">
        <f t="shared" si="2"/>
        <v>1358900</v>
      </c>
      <c r="BW25" s="84">
        <f t="shared" si="3"/>
        <v>3003570</v>
      </c>
      <c r="BX25" s="84">
        <f t="shared" si="4"/>
        <v>1712640</v>
      </c>
      <c r="BY25" s="84">
        <f t="shared" si="5"/>
        <v>135700</v>
      </c>
      <c r="BZ25" s="84">
        <f t="shared" si="6"/>
        <v>1976298</v>
      </c>
      <c r="CA25" s="84">
        <f t="shared" si="7"/>
        <v>9425053</v>
      </c>
      <c r="CB25" s="84">
        <f t="shared" si="8"/>
        <v>1108707</v>
      </c>
      <c r="CC25" s="84">
        <f t="shared" si="9"/>
        <v>8316346</v>
      </c>
      <c r="CD25" s="85">
        <f t="shared" si="10"/>
        <v>4989808</v>
      </c>
      <c r="CF25" s="6" t="s">
        <v>405</v>
      </c>
      <c r="CG25" s="6" t="str">
        <f t="shared" si="11"/>
        <v>2026-01</v>
      </c>
      <c r="CH25" s="5" t="str">
        <f>_xlfn.XLOOKUP('컨텐츠별 매출 통계'!A25,KEY!$C$3:$C$1000,KEY!$B$3:$B$1000)</f>
        <v>퀘스트지상주의</v>
      </c>
      <c r="CI25" s="5">
        <f t="shared" si="12"/>
        <v>4989808</v>
      </c>
      <c r="CJ25" s="5">
        <v>0</v>
      </c>
      <c r="CK25" s="5">
        <f t="shared" si="13"/>
        <v>4989808</v>
      </c>
      <c r="CL25" s="5"/>
      <c r="CM25" s="5"/>
      <c r="CN25" s="5">
        <f t="shared" si="14"/>
        <v>4989808</v>
      </c>
      <c r="CO25" s="5">
        <f t="shared" si="15"/>
        <v>0</v>
      </c>
      <c r="CP25" s="5">
        <f t="shared" si="16"/>
        <v>4989808</v>
      </c>
      <c r="CR25" s="45" t="str">
        <f t="shared" si="17"/>
        <v>2026-01월 국내유상이용권 브랜드정산_웹툰&lt;퀘스트지상주의&gt;</v>
      </c>
      <c r="CS25" s="45" t="str">
        <f>_xlfn.XLOOKUP(CH25,KEY!$B$3:$B$1000,KEY!$E$3:$E$1000)</f>
        <v>팀 유호빈</v>
      </c>
      <c r="CT25" s="45" t="str">
        <f>_xlfn.XLOOKUP(CH25,KEY!$B$3:$B$1000,KEY!$F$3:$F$1000)</f>
        <v>퀘스트지상주의</v>
      </c>
      <c r="CU25" s="2" t="s">
        <v>41</v>
      </c>
      <c r="CV25" s="33">
        <f t="shared" si="18"/>
        <v>4989808</v>
      </c>
      <c r="CW25" s="46" t="str">
        <f>_xlfn.XLOOKUP(CS25,KEY!E:E,KEY!G:G)</f>
        <v>W1200</v>
      </c>
      <c r="CX25" s="46" t="str">
        <f>_xlfn.XLOOKUP(CT25,KEY!F:F,KEY!H:H)</f>
        <v>PN006</v>
      </c>
    </row>
    <row r="26" spans="1:102">
      <c r="A26" s="136" t="s">
        <v>245</v>
      </c>
      <c r="B26" s="130">
        <v>624713</v>
      </c>
      <c r="C26" s="131"/>
      <c r="D26" s="130" t="s">
        <v>385</v>
      </c>
      <c r="E26" s="130" t="s">
        <v>246</v>
      </c>
      <c r="F26" s="130" t="s">
        <v>247</v>
      </c>
      <c r="G26" s="132" t="s">
        <v>170</v>
      </c>
      <c r="H26" s="132" t="s">
        <v>393</v>
      </c>
      <c r="I26" s="132">
        <v>0</v>
      </c>
      <c r="J26" s="132">
        <v>0</v>
      </c>
      <c r="K26" s="132">
        <v>0</v>
      </c>
      <c r="L26" s="132">
        <v>0</v>
      </c>
      <c r="M26" s="132">
        <v>0</v>
      </c>
      <c r="N26" s="132">
        <v>0</v>
      </c>
      <c r="O26" s="132">
        <v>0</v>
      </c>
      <c r="P26" s="132">
        <v>0</v>
      </c>
      <c r="Q26" s="132">
        <v>0</v>
      </c>
      <c r="R26" s="132">
        <v>0</v>
      </c>
      <c r="S26" s="132">
        <v>0</v>
      </c>
      <c r="T26" s="132">
        <v>0</v>
      </c>
      <c r="U26" s="132">
        <v>0</v>
      </c>
      <c r="V26" s="132">
        <v>0</v>
      </c>
      <c r="W26" s="132">
        <v>0</v>
      </c>
      <c r="X26" s="132">
        <v>0</v>
      </c>
      <c r="Y26" s="132">
        <v>0</v>
      </c>
      <c r="Z26" s="132">
        <v>0</v>
      </c>
      <c r="AA26" s="133">
        <v>7332</v>
      </c>
      <c r="AB26" s="133">
        <v>1005480</v>
      </c>
      <c r="AC26" s="133">
        <v>1045055</v>
      </c>
      <c r="AD26" s="132">
        <v>14</v>
      </c>
      <c r="AE26" s="133">
        <v>6000</v>
      </c>
      <c r="AF26" s="133">
        <v>3125</v>
      </c>
      <c r="AG26" s="133">
        <v>4862</v>
      </c>
      <c r="AH26" s="133">
        <v>1483936</v>
      </c>
      <c r="AI26" s="133">
        <v>205500</v>
      </c>
      <c r="AJ26" s="132">
        <v>2</v>
      </c>
      <c r="AK26" s="132">
        <v>600</v>
      </c>
      <c r="AL26" s="132">
        <v>500</v>
      </c>
      <c r="AM26" s="132">
        <v>927</v>
      </c>
      <c r="AN26" s="133">
        <v>270200</v>
      </c>
      <c r="AO26" s="133">
        <v>5500</v>
      </c>
      <c r="AP26" s="132">
        <v>5</v>
      </c>
      <c r="AQ26" s="133">
        <v>3500</v>
      </c>
      <c r="AR26" s="132">
        <v>0</v>
      </c>
      <c r="AS26" s="133">
        <v>2065</v>
      </c>
      <c r="AT26" s="133">
        <v>727836</v>
      </c>
      <c r="AU26" s="132">
        <v>200</v>
      </c>
      <c r="AV26" s="132">
        <v>5</v>
      </c>
      <c r="AW26" s="133">
        <v>3000</v>
      </c>
      <c r="AX26" s="132">
        <v>0</v>
      </c>
      <c r="AY26" s="133">
        <v>2792</v>
      </c>
      <c r="AZ26" s="133">
        <v>984960</v>
      </c>
      <c r="BA26" s="132">
        <v>700</v>
      </c>
      <c r="BB26" s="132">
        <v>6</v>
      </c>
      <c r="BC26" s="133">
        <v>30600</v>
      </c>
      <c r="BD26" s="132">
        <v>0</v>
      </c>
      <c r="BE26" s="132">
        <v>4</v>
      </c>
      <c r="BF26" s="133">
        <v>1440</v>
      </c>
      <c r="BG26" s="132">
        <v>0</v>
      </c>
      <c r="BH26" s="132">
        <v>0</v>
      </c>
      <c r="BI26" s="132">
        <v>0</v>
      </c>
      <c r="BJ26" s="132">
        <v>0</v>
      </c>
      <c r="BK26" s="132">
        <v>8</v>
      </c>
      <c r="BL26" s="133">
        <v>2400</v>
      </c>
      <c r="BM26" s="132">
        <v>0</v>
      </c>
      <c r="BN26" s="132">
        <v>0</v>
      </c>
      <c r="BO26" s="132">
        <v>0</v>
      </c>
      <c r="BP26" s="132">
        <v>0</v>
      </c>
      <c r="BQ26" s="132">
        <v>72</v>
      </c>
      <c r="BR26" s="134">
        <v>648873.19999999995</v>
      </c>
      <c r="BS26" s="135">
        <v>5780532</v>
      </c>
      <c r="BT26" s="84">
        <f t="shared" si="0"/>
        <v>1440</v>
      </c>
      <c r="BU26" s="84">
        <f t="shared" si="1"/>
        <v>1260580</v>
      </c>
      <c r="BV26" s="84">
        <f t="shared" si="2"/>
        <v>1285180</v>
      </c>
      <c r="BW26" s="84">
        <f t="shared" si="3"/>
        <v>730836</v>
      </c>
      <c r="BX26" s="84">
        <f t="shared" si="4"/>
        <v>1015560</v>
      </c>
      <c r="BY26" s="84">
        <f t="shared" si="5"/>
        <v>2400</v>
      </c>
      <c r="BZ26" s="84">
        <f t="shared" si="6"/>
        <v>1484536</v>
      </c>
      <c r="CA26" s="84">
        <f t="shared" si="7"/>
        <v>5780532</v>
      </c>
      <c r="CB26" s="84">
        <f t="shared" si="8"/>
        <v>648873</v>
      </c>
      <c r="CC26" s="84">
        <f t="shared" si="9"/>
        <v>5131659</v>
      </c>
      <c r="CD26" s="85">
        <f t="shared" si="10"/>
        <v>3078995</v>
      </c>
      <c r="CF26" s="6" t="s">
        <v>405</v>
      </c>
      <c r="CG26" s="6" t="str">
        <f t="shared" si="11"/>
        <v>2026-01</v>
      </c>
      <c r="CH26" s="5" t="str">
        <f>_xlfn.XLOOKUP('컨텐츠별 매출 통계'!A26,KEY!$C$3:$C$1000,KEY!$B$3:$B$1000)</f>
        <v>강제소집</v>
      </c>
      <c r="CI26" s="5">
        <f t="shared" si="12"/>
        <v>3078995</v>
      </c>
      <c r="CJ26" s="5">
        <v>0</v>
      </c>
      <c r="CK26" s="5">
        <f t="shared" si="13"/>
        <v>3078995</v>
      </c>
      <c r="CL26" s="5"/>
      <c r="CM26" s="5"/>
      <c r="CN26" s="5">
        <f t="shared" si="14"/>
        <v>3078995</v>
      </c>
      <c r="CO26" s="5">
        <f t="shared" si="15"/>
        <v>0</v>
      </c>
      <c r="CP26" s="5">
        <f t="shared" si="16"/>
        <v>3078995</v>
      </c>
      <c r="CR26" s="45" t="str">
        <f t="shared" si="17"/>
        <v>2026-01월 국내유상이용권 브랜드정산_웹툰&lt;강제소집&gt;</v>
      </c>
      <c r="CS26" s="45" t="str">
        <f>_xlfn.XLOOKUP(CH26,KEY!$B$3:$B$1000,KEY!$E$3:$E$1000)</f>
        <v>전략기획팀</v>
      </c>
      <c r="CT26" s="45" t="str">
        <f>_xlfn.XLOOKUP(CH26,KEY!$B$3:$B$1000,KEY!$F$3:$F$1000)</f>
        <v>강제소집</v>
      </c>
      <c r="CU26" s="2" t="s">
        <v>41</v>
      </c>
      <c r="CV26" s="33">
        <f t="shared" si="18"/>
        <v>3078995</v>
      </c>
      <c r="CW26" s="46" t="str">
        <f>_xlfn.XLOOKUP(CS26,KEY!E:E,KEY!G:G)</f>
        <v>B1200</v>
      </c>
      <c r="CX26" s="46" t="str">
        <f>_xlfn.XLOOKUP(CT26,KEY!F:F,KEY!H:H)</f>
        <v>PN081</v>
      </c>
    </row>
    <row r="27" spans="1:102">
      <c r="A27" s="136" t="s">
        <v>157</v>
      </c>
      <c r="B27" s="130">
        <v>594698</v>
      </c>
      <c r="C27" s="131"/>
      <c r="D27" s="130" t="s">
        <v>385</v>
      </c>
      <c r="E27" s="130" t="s">
        <v>189</v>
      </c>
      <c r="F27" s="130" t="s">
        <v>189</v>
      </c>
      <c r="G27" s="132" t="s">
        <v>166</v>
      </c>
      <c r="H27" s="132" t="s">
        <v>404</v>
      </c>
      <c r="I27" s="132">
        <v>0</v>
      </c>
      <c r="J27" s="132">
        <v>0</v>
      </c>
      <c r="K27" s="132">
        <v>0</v>
      </c>
      <c r="L27" s="132">
        <v>0</v>
      </c>
      <c r="M27" s="132">
        <v>0</v>
      </c>
      <c r="N27" s="132">
        <v>0</v>
      </c>
      <c r="O27" s="132">
        <v>0</v>
      </c>
      <c r="P27" s="132">
        <v>0</v>
      </c>
      <c r="Q27" s="132">
        <v>0</v>
      </c>
      <c r="R27" s="132">
        <v>0</v>
      </c>
      <c r="S27" s="132">
        <v>0</v>
      </c>
      <c r="T27" s="132">
        <v>0</v>
      </c>
      <c r="U27" s="132">
        <v>0</v>
      </c>
      <c r="V27" s="132">
        <v>0</v>
      </c>
      <c r="W27" s="132">
        <v>0</v>
      </c>
      <c r="X27" s="132">
        <v>0</v>
      </c>
      <c r="Y27" s="132">
        <v>0</v>
      </c>
      <c r="Z27" s="132">
        <v>0</v>
      </c>
      <c r="AA27" s="133">
        <v>3816</v>
      </c>
      <c r="AB27" s="133">
        <v>812180</v>
      </c>
      <c r="AC27" s="133">
        <v>303075</v>
      </c>
      <c r="AD27" s="132">
        <v>58</v>
      </c>
      <c r="AE27" s="133">
        <v>18600</v>
      </c>
      <c r="AF27" s="133">
        <v>5560</v>
      </c>
      <c r="AG27" s="133">
        <v>2781</v>
      </c>
      <c r="AH27" s="133">
        <v>918056</v>
      </c>
      <c r="AI27" s="133">
        <v>67800</v>
      </c>
      <c r="AJ27" s="132">
        <v>0</v>
      </c>
      <c r="AK27" s="132">
        <v>0</v>
      </c>
      <c r="AL27" s="132">
        <v>0</v>
      </c>
      <c r="AM27" s="132">
        <v>926</v>
      </c>
      <c r="AN27" s="133">
        <v>271500</v>
      </c>
      <c r="AO27" s="133">
        <v>5500</v>
      </c>
      <c r="AP27" s="132">
        <v>10</v>
      </c>
      <c r="AQ27" s="133">
        <v>4000</v>
      </c>
      <c r="AR27" s="132">
        <v>0</v>
      </c>
      <c r="AS27" s="133">
        <v>2246</v>
      </c>
      <c r="AT27" s="133">
        <v>796715</v>
      </c>
      <c r="AU27" s="133">
        <v>1100</v>
      </c>
      <c r="AV27" s="132">
        <v>23</v>
      </c>
      <c r="AW27" s="133">
        <v>12960</v>
      </c>
      <c r="AX27" s="132">
        <v>400</v>
      </c>
      <c r="AY27" s="133">
        <v>2357</v>
      </c>
      <c r="AZ27" s="133">
        <v>841680</v>
      </c>
      <c r="BA27" s="133">
        <v>1500</v>
      </c>
      <c r="BB27" s="132">
        <v>27</v>
      </c>
      <c r="BC27" s="133">
        <v>12600</v>
      </c>
      <c r="BD27" s="132">
        <v>0</v>
      </c>
      <c r="BE27" s="132">
        <v>4</v>
      </c>
      <c r="BF27" s="133">
        <v>1440</v>
      </c>
      <c r="BG27" s="132">
        <v>0</v>
      </c>
      <c r="BH27" s="132">
        <v>0</v>
      </c>
      <c r="BI27" s="132">
        <v>0</v>
      </c>
      <c r="BJ27" s="132">
        <v>0</v>
      </c>
      <c r="BK27" s="132">
        <v>12</v>
      </c>
      <c r="BL27" s="133">
        <v>3600</v>
      </c>
      <c r="BM27" s="132">
        <v>0</v>
      </c>
      <c r="BN27" s="132">
        <v>2</v>
      </c>
      <c r="BO27" s="132">
        <v>800</v>
      </c>
      <c r="BP27" s="132">
        <v>0</v>
      </c>
      <c r="BQ27" s="132">
        <v>0</v>
      </c>
      <c r="BR27" s="134">
        <v>467233.1</v>
      </c>
      <c r="BS27" s="135">
        <v>4079066</v>
      </c>
      <c r="BT27" s="84">
        <f t="shared" si="0"/>
        <v>1440</v>
      </c>
      <c r="BU27" s="84">
        <f t="shared" si="1"/>
        <v>384935</v>
      </c>
      <c r="BV27" s="84">
        <f t="shared" si="2"/>
        <v>1106280</v>
      </c>
      <c r="BW27" s="84">
        <f t="shared" si="3"/>
        <v>809675</v>
      </c>
      <c r="BX27" s="84">
        <f t="shared" si="4"/>
        <v>854280</v>
      </c>
      <c r="BY27" s="84">
        <f t="shared" si="5"/>
        <v>4400</v>
      </c>
      <c r="BZ27" s="84">
        <f t="shared" si="6"/>
        <v>918056</v>
      </c>
      <c r="CA27" s="84">
        <f t="shared" si="7"/>
        <v>4079066</v>
      </c>
      <c r="CB27" s="84">
        <f t="shared" si="8"/>
        <v>467233</v>
      </c>
      <c r="CC27" s="84">
        <f t="shared" si="9"/>
        <v>3611833</v>
      </c>
      <c r="CD27" s="85">
        <f t="shared" si="10"/>
        <v>2167100</v>
      </c>
      <c r="CF27" s="6" t="s">
        <v>405</v>
      </c>
      <c r="CG27" s="6" t="str">
        <f t="shared" si="11"/>
        <v>2026-01</v>
      </c>
      <c r="CH27" s="5" t="str">
        <f>_xlfn.XLOOKUP('컨텐츠별 매출 통계'!A27,KEY!$C$3:$C$1000,KEY!$B$3:$B$1000)</f>
        <v>정의구현</v>
      </c>
      <c r="CI27" s="5">
        <f t="shared" si="12"/>
        <v>2167100</v>
      </c>
      <c r="CJ27" s="5">
        <v>0</v>
      </c>
      <c r="CK27" s="5">
        <f t="shared" si="13"/>
        <v>2167100</v>
      </c>
      <c r="CL27" s="5"/>
      <c r="CM27" s="5"/>
      <c r="CN27" s="5">
        <f t="shared" si="14"/>
        <v>2167100</v>
      </c>
      <c r="CO27" s="5">
        <f t="shared" si="15"/>
        <v>0</v>
      </c>
      <c r="CP27" s="5">
        <f t="shared" si="16"/>
        <v>2167100</v>
      </c>
      <c r="CR27" s="45" t="str">
        <f t="shared" si="17"/>
        <v>2026-01월 국내유상이용권 브랜드정산_웹툰&lt;정의구현&gt;</v>
      </c>
      <c r="CS27" s="45" t="str">
        <f>_xlfn.XLOOKUP(CH27,KEY!$B$3:$B$1000,KEY!$E$3:$E$1000)</f>
        <v>팀 MAJOR_메이저</v>
      </c>
      <c r="CT27" s="45" t="str">
        <f>_xlfn.XLOOKUP(CH27,KEY!$B$3:$B$1000,KEY!$F$3:$F$1000)</f>
        <v>정의구현(가제.정의의이름으로)</v>
      </c>
      <c r="CU27" s="2" t="s">
        <v>41</v>
      </c>
      <c r="CV27" s="33">
        <f t="shared" si="18"/>
        <v>2167100</v>
      </c>
      <c r="CW27" s="46" t="str">
        <f>_xlfn.XLOOKUP(CS27,KEY!E:E,KEY!G:G)</f>
        <v>W1700</v>
      </c>
      <c r="CX27" s="46" t="str">
        <f>_xlfn.XLOOKUP(CT27,KEY!F:F,KEY!H:H)</f>
        <v>PN041</v>
      </c>
    </row>
    <row r="28" spans="1:102">
      <c r="A28" s="136" t="s">
        <v>130</v>
      </c>
      <c r="B28" s="130">
        <v>512152</v>
      </c>
      <c r="C28" s="131"/>
      <c r="D28" s="130" t="s">
        <v>385</v>
      </c>
      <c r="E28" s="130" t="s">
        <v>204</v>
      </c>
      <c r="F28" s="130" t="s">
        <v>165</v>
      </c>
      <c r="G28" s="132" t="s">
        <v>170</v>
      </c>
      <c r="H28" s="132" t="s">
        <v>205</v>
      </c>
      <c r="I28" s="132">
        <v>0</v>
      </c>
      <c r="J28" s="133">
        <v>42018</v>
      </c>
      <c r="K28" s="132">
        <v>0</v>
      </c>
      <c r="L28" s="132">
        <v>0</v>
      </c>
      <c r="M28" s="132">
        <v>0</v>
      </c>
      <c r="N28" s="132">
        <v>0</v>
      </c>
      <c r="O28" s="132">
        <v>0</v>
      </c>
      <c r="P28" s="132">
        <v>0</v>
      </c>
      <c r="Q28" s="132">
        <v>0</v>
      </c>
      <c r="R28" s="132">
        <v>0</v>
      </c>
      <c r="S28" s="132">
        <v>0</v>
      </c>
      <c r="T28" s="132">
        <v>0</v>
      </c>
      <c r="U28" s="132">
        <v>0</v>
      </c>
      <c r="V28" s="132">
        <v>0</v>
      </c>
      <c r="W28" s="132">
        <v>0</v>
      </c>
      <c r="X28" s="132">
        <v>0</v>
      </c>
      <c r="Y28" s="132">
        <v>0</v>
      </c>
      <c r="Z28" s="132">
        <v>0</v>
      </c>
      <c r="AA28" s="133">
        <v>3848</v>
      </c>
      <c r="AB28" s="133">
        <v>445900</v>
      </c>
      <c r="AC28" s="133">
        <v>292400</v>
      </c>
      <c r="AD28" s="132">
        <v>77</v>
      </c>
      <c r="AE28" s="133">
        <v>41600</v>
      </c>
      <c r="AF28" s="133">
        <v>22180</v>
      </c>
      <c r="AG28" s="133">
        <v>5030</v>
      </c>
      <c r="AH28" s="133">
        <v>1060691</v>
      </c>
      <c r="AI28" s="133">
        <v>123400</v>
      </c>
      <c r="AJ28" s="132">
        <v>7</v>
      </c>
      <c r="AK28" s="132">
        <v>0</v>
      </c>
      <c r="AL28" s="133">
        <v>2800</v>
      </c>
      <c r="AM28" s="133">
        <v>1056</v>
      </c>
      <c r="AN28" s="133">
        <v>206900</v>
      </c>
      <c r="AO28" s="133">
        <v>3900</v>
      </c>
      <c r="AP28" s="132">
        <v>7</v>
      </c>
      <c r="AQ28" s="133">
        <v>5200</v>
      </c>
      <c r="AR28" s="132">
        <v>0</v>
      </c>
      <c r="AS28" s="133">
        <v>1597</v>
      </c>
      <c r="AT28" s="133">
        <v>384186</v>
      </c>
      <c r="AU28" s="132">
        <v>300</v>
      </c>
      <c r="AV28" s="132">
        <v>33</v>
      </c>
      <c r="AW28" s="133">
        <v>14640</v>
      </c>
      <c r="AX28" s="132">
        <v>0</v>
      </c>
      <c r="AY28" s="133">
        <v>2462</v>
      </c>
      <c r="AZ28" s="133">
        <v>586680</v>
      </c>
      <c r="BA28" s="133">
        <v>2000</v>
      </c>
      <c r="BB28" s="132">
        <v>53</v>
      </c>
      <c r="BC28" s="133">
        <v>72840</v>
      </c>
      <c r="BD28" s="132">
        <v>0</v>
      </c>
      <c r="BE28" s="132">
        <v>0</v>
      </c>
      <c r="BF28" s="132">
        <v>0</v>
      </c>
      <c r="BG28" s="132">
        <v>0</v>
      </c>
      <c r="BH28" s="132">
        <v>0</v>
      </c>
      <c r="BI28" s="132">
        <v>0</v>
      </c>
      <c r="BJ28" s="132">
        <v>0</v>
      </c>
      <c r="BK28" s="132">
        <v>16</v>
      </c>
      <c r="BL28" s="133">
        <v>3200</v>
      </c>
      <c r="BM28" s="132">
        <v>0</v>
      </c>
      <c r="BN28" s="132">
        <v>0</v>
      </c>
      <c r="BO28" s="132">
        <v>0</v>
      </c>
      <c r="BP28" s="132">
        <v>0</v>
      </c>
      <c r="BQ28" s="132">
        <v>0</v>
      </c>
      <c r="BR28" s="134">
        <v>438914.7</v>
      </c>
      <c r="BS28" s="135">
        <v>3268817</v>
      </c>
      <c r="BT28" s="84">
        <f t="shared" si="0"/>
        <v>0</v>
      </c>
      <c r="BU28" s="84">
        <f t="shared" si="1"/>
        <v>446980</v>
      </c>
      <c r="BV28" s="84">
        <f t="shared" si="2"/>
        <v>699600</v>
      </c>
      <c r="BW28" s="84">
        <f t="shared" si="3"/>
        <v>398826</v>
      </c>
      <c r="BX28" s="84">
        <f t="shared" si="4"/>
        <v>659520</v>
      </c>
      <c r="BY28" s="84">
        <f t="shared" si="5"/>
        <v>3200</v>
      </c>
      <c r="BZ28" s="84">
        <f t="shared" si="6"/>
        <v>1060691</v>
      </c>
      <c r="CA28" s="84">
        <f t="shared" si="7"/>
        <v>3268817</v>
      </c>
      <c r="CB28" s="84">
        <f t="shared" si="8"/>
        <v>438915</v>
      </c>
      <c r="CC28" s="84">
        <f t="shared" si="9"/>
        <v>2829902</v>
      </c>
      <c r="CD28" s="85">
        <f t="shared" si="10"/>
        <v>1697941</v>
      </c>
      <c r="CF28" s="6" t="s">
        <v>405</v>
      </c>
      <c r="CG28" s="6" t="str">
        <f t="shared" si="11"/>
        <v>2026-01</v>
      </c>
      <c r="CH28" s="5" t="str">
        <f>_xlfn.XLOOKUP('컨텐츠별 매출 통계'!A28,KEY!$C$3:$C$1000,KEY!$B$3:$B$1000)</f>
        <v>유쾌한왕따(재)</v>
      </c>
      <c r="CI28" s="5">
        <f t="shared" si="12"/>
        <v>1697941</v>
      </c>
      <c r="CJ28" s="5">
        <v>0</v>
      </c>
      <c r="CK28" s="5">
        <f t="shared" si="13"/>
        <v>1697941</v>
      </c>
      <c r="CL28" s="5"/>
      <c r="CM28" s="5"/>
      <c r="CN28" s="5">
        <f t="shared" si="14"/>
        <v>1697941</v>
      </c>
      <c r="CO28" s="5">
        <f t="shared" si="15"/>
        <v>0</v>
      </c>
      <c r="CP28" s="5">
        <f t="shared" si="16"/>
        <v>1697941</v>
      </c>
      <c r="CR28" s="45" t="str">
        <f t="shared" si="17"/>
        <v>2026-01월 국내유상이용권 브랜드정산_웹툰&lt;유쾌한왕따(재)&gt;</v>
      </c>
      <c r="CS28" s="45" t="str">
        <f>_xlfn.XLOOKUP(CH28,KEY!$B$3:$B$1000,KEY!$E$3:$E$1000)</f>
        <v>팀 숭늉</v>
      </c>
      <c r="CT28" s="45" t="str">
        <f>_xlfn.XLOOKUP(CH28,KEY!$B$3:$B$1000,KEY!$F$3:$F$1000)</f>
        <v>유쾌한왕따</v>
      </c>
      <c r="CU28" s="2" t="s">
        <v>41</v>
      </c>
      <c r="CV28" s="33">
        <f t="shared" si="18"/>
        <v>1697941</v>
      </c>
      <c r="CW28" s="46" t="str">
        <f>_xlfn.XLOOKUP(CS28,KEY!E:E,KEY!G:G)</f>
        <v>W1500</v>
      </c>
      <c r="CX28" s="46" t="str">
        <f>_xlfn.XLOOKUP(CT28,KEY!F:F,KEY!H:H)</f>
        <v>PN032</v>
      </c>
    </row>
    <row r="29" spans="1:102">
      <c r="A29" s="136" t="s">
        <v>128</v>
      </c>
      <c r="B29" s="130">
        <v>503855</v>
      </c>
      <c r="C29" s="131"/>
      <c r="D29" s="130" t="s">
        <v>385</v>
      </c>
      <c r="E29" s="130" t="s">
        <v>194</v>
      </c>
      <c r="F29" s="130" t="s">
        <v>164</v>
      </c>
      <c r="G29" s="132" t="s">
        <v>166</v>
      </c>
      <c r="H29" s="132" t="s">
        <v>195</v>
      </c>
      <c r="I29" s="132">
        <v>0</v>
      </c>
      <c r="J29" s="133">
        <v>62479</v>
      </c>
      <c r="K29" s="132">
        <v>0</v>
      </c>
      <c r="L29" s="132">
        <v>0</v>
      </c>
      <c r="M29" s="132">
        <v>0</v>
      </c>
      <c r="N29" s="132">
        <v>0</v>
      </c>
      <c r="O29" s="132">
        <v>0</v>
      </c>
      <c r="P29" s="132">
        <v>0</v>
      </c>
      <c r="Q29" s="132">
        <v>0</v>
      </c>
      <c r="R29" s="132">
        <v>0</v>
      </c>
      <c r="S29" s="132">
        <v>0</v>
      </c>
      <c r="T29" s="132">
        <v>0</v>
      </c>
      <c r="U29" s="132">
        <v>0</v>
      </c>
      <c r="V29" s="132">
        <v>0</v>
      </c>
      <c r="W29" s="132">
        <v>0</v>
      </c>
      <c r="X29" s="132">
        <v>0</v>
      </c>
      <c r="Y29" s="132">
        <v>0</v>
      </c>
      <c r="Z29" s="132">
        <v>0</v>
      </c>
      <c r="AA29" s="133">
        <v>1240</v>
      </c>
      <c r="AB29" s="133">
        <v>215900</v>
      </c>
      <c r="AC29" s="133">
        <v>137410</v>
      </c>
      <c r="AD29" s="132">
        <v>276</v>
      </c>
      <c r="AE29" s="133">
        <v>104600</v>
      </c>
      <c r="AF29" s="133">
        <v>54355</v>
      </c>
      <c r="AG29" s="133">
        <v>2174</v>
      </c>
      <c r="AH29" s="133">
        <v>718223</v>
      </c>
      <c r="AI29" s="133">
        <v>50900</v>
      </c>
      <c r="AJ29" s="132">
        <v>80</v>
      </c>
      <c r="AK29" s="133">
        <v>46200</v>
      </c>
      <c r="AL29" s="133">
        <v>1200</v>
      </c>
      <c r="AM29" s="132">
        <v>463</v>
      </c>
      <c r="AN29" s="133">
        <v>136600</v>
      </c>
      <c r="AO29" s="133">
        <v>2000</v>
      </c>
      <c r="AP29" s="132">
        <v>134</v>
      </c>
      <c r="AQ29" s="133">
        <v>103900</v>
      </c>
      <c r="AR29" s="132">
        <v>600</v>
      </c>
      <c r="AS29" s="133">
        <v>1818</v>
      </c>
      <c r="AT29" s="133">
        <v>648137</v>
      </c>
      <c r="AU29" s="133">
        <v>1000</v>
      </c>
      <c r="AV29" s="132">
        <v>79</v>
      </c>
      <c r="AW29" s="133">
        <v>95880</v>
      </c>
      <c r="AX29" s="132">
        <v>0</v>
      </c>
      <c r="AY29" s="133">
        <v>1644</v>
      </c>
      <c r="AZ29" s="133">
        <v>588600</v>
      </c>
      <c r="BA29" s="132">
        <v>300</v>
      </c>
      <c r="BB29" s="132">
        <v>8</v>
      </c>
      <c r="BC29" s="133">
        <v>24240</v>
      </c>
      <c r="BD29" s="132">
        <v>500</v>
      </c>
      <c r="BE29" s="132">
        <v>6</v>
      </c>
      <c r="BF29" s="133">
        <v>2160</v>
      </c>
      <c r="BG29" s="132">
        <v>0</v>
      </c>
      <c r="BH29" s="132">
        <v>69</v>
      </c>
      <c r="BI29" s="133">
        <v>41400</v>
      </c>
      <c r="BJ29" s="132">
        <v>0</v>
      </c>
      <c r="BK29" s="132">
        <v>67</v>
      </c>
      <c r="BL29" s="133">
        <v>19900</v>
      </c>
      <c r="BM29" s="132">
        <v>0</v>
      </c>
      <c r="BN29" s="132">
        <v>1</v>
      </c>
      <c r="BO29" s="132">
        <v>500</v>
      </c>
      <c r="BP29" s="132">
        <v>0</v>
      </c>
      <c r="BQ29" s="132">
        <v>216</v>
      </c>
      <c r="BR29" s="134">
        <v>382252.5</v>
      </c>
      <c r="BS29" s="135">
        <v>2994505</v>
      </c>
      <c r="BT29" s="84">
        <f t="shared" si="0"/>
        <v>43560</v>
      </c>
      <c r="BU29" s="84">
        <f t="shared" si="1"/>
        <v>248265</v>
      </c>
      <c r="BV29" s="84">
        <f t="shared" si="2"/>
        <v>561000</v>
      </c>
      <c r="BW29" s="84">
        <f t="shared" si="3"/>
        <v>744017</v>
      </c>
      <c r="BX29" s="84">
        <f t="shared" si="4"/>
        <v>612840</v>
      </c>
      <c r="BY29" s="84">
        <f t="shared" si="5"/>
        <v>20400</v>
      </c>
      <c r="BZ29" s="84">
        <f t="shared" si="6"/>
        <v>764423</v>
      </c>
      <c r="CA29" s="84">
        <f t="shared" si="7"/>
        <v>2994505</v>
      </c>
      <c r="CB29" s="84">
        <f t="shared" si="8"/>
        <v>382253</v>
      </c>
      <c r="CC29" s="84">
        <f t="shared" si="9"/>
        <v>2612252</v>
      </c>
      <c r="CD29" s="85">
        <f t="shared" si="10"/>
        <v>1567351</v>
      </c>
      <c r="CF29" s="6" t="s">
        <v>405</v>
      </c>
      <c r="CG29" s="6" t="str">
        <f t="shared" si="11"/>
        <v>2026-01</v>
      </c>
      <c r="CH29" s="5" t="str">
        <f>_xlfn.XLOOKUP('컨텐츠별 매출 통계'!A29,KEY!$C$3:$C$1000,KEY!$B$3:$B$1000)</f>
        <v>촉법소년</v>
      </c>
      <c r="CI29" s="5">
        <f t="shared" si="12"/>
        <v>1567351</v>
      </c>
      <c r="CJ29" s="5">
        <v>0</v>
      </c>
      <c r="CK29" s="5">
        <f t="shared" si="13"/>
        <v>1567351</v>
      </c>
      <c r="CL29" s="5"/>
      <c r="CM29" s="5"/>
      <c r="CN29" s="5">
        <f t="shared" si="14"/>
        <v>1567351</v>
      </c>
      <c r="CO29" s="5">
        <f t="shared" si="15"/>
        <v>0</v>
      </c>
      <c r="CP29" s="5">
        <f t="shared" si="16"/>
        <v>1567351</v>
      </c>
      <c r="CR29" s="45" t="str">
        <f t="shared" si="17"/>
        <v>2026-01월 국내유상이용권 브랜드정산_웹툰&lt;촉법소년&gt;</v>
      </c>
      <c r="CS29" s="45" t="str">
        <f>_xlfn.XLOOKUP(CH29,KEY!$B$3:$B$1000,KEY!$E$3:$E$1000)</f>
        <v>팀 박태준_공통</v>
      </c>
      <c r="CT29" s="45" t="str">
        <f>_xlfn.XLOOKUP(CH29,KEY!$B$3:$B$1000,KEY!$F$3:$F$1000)</f>
        <v>촉법소년</v>
      </c>
      <c r="CU29" s="2" t="s">
        <v>41</v>
      </c>
      <c r="CV29" s="33">
        <f t="shared" si="18"/>
        <v>1567351</v>
      </c>
      <c r="CW29" s="46" t="str">
        <f>_xlfn.XLOOKUP(CS29,KEY!E:E,KEY!G:G)</f>
        <v>W1199</v>
      </c>
      <c r="CX29" s="46" t="str">
        <f>_xlfn.XLOOKUP(CT29,KEY!F:F,KEY!H:H)</f>
        <v>PN033</v>
      </c>
    </row>
    <row r="30" spans="1:102">
      <c r="A30" s="136" t="s">
        <v>133</v>
      </c>
      <c r="B30" s="130">
        <v>535549</v>
      </c>
      <c r="C30" s="131"/>
      <c r="D30" s="130" t="s">
        <v>385</v>
      </c>
      <c r="E30" s="130" t="s">
        <v>187</v>
      </c>
      <c r="F30" s="130" t="s">
        <v>165</v>
      </c>
      <c r="G30" s="132" t="s">
        <v>166</v>
      </c>
      <c r="H30" s="132" t="s">
        <v>173</v>
      </c>
      <c r="I30" s="132">
        <v>0</v>
      </c>
      <c r="J30" s="133">
        <v>26054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Z30" s="132">
        <v>0</v>
      </c>
      <c r="AA30" s="133">
        <v>1395</v>
      </c>
      <c r="AB30" s="133">
        <v>190400</v>
      </c>
      <c r="AC30" s="133">
        <v>209435</v>
      </c>
      <c r="AD30" s="132">
        <v>238</v>
      </c>
      <c r="AE30" s="133">
        <v>34800</v>
      </c>
      <c r="AF30" s="133">
        <v>75490</v>
      </c>
      <c r="AG30" s="133">
        <v>1024</v>
      </c>
      <c r="AH30" s="133">
        <v>335730</v>
      </c>
      <c r="AI30" s="133">
        <v>27200</v>
      </c>
      <c r="AJ30" s="132">
        <v>175</v>
      </c>
      <c r="AK30" s="133">
        <v>48960</v>
      </c>
      <c r="AL30" s="133">
        <v>28700</v>
      </c>
      <c r="AM30" s="132">
        <v>255</v>
      </c>
      <c r="AN30" s="133">
        <v>73900</v>
      </c>
      <c r="AO30" s="133">
        <v>2100</v>
      </c>
      <c r="AP30" s="132">
        <v>41</v>
      </c>
      <c r="AQ30" s="133">
        <v>16000</v>
      </c>
      <c r="AR30" s="132">
        <v>400</v>
      </c>
      <c r="AS30" s="132">
        <v>887</v>
      </c>
      <c r="AT30" s="133">
        <v>313920</v>
      </c>
      <c r="AU30" s="133">
        <v>2000</v>
      </c>
      <c r="AV30" s="132">
        <v>200</v>
      </c>
      <c r="AW30" s="133">
        <v>95880</v>
      </c>
      <c r="AX30" s="132">
        <v>0</v>
      </c>
      <c r="AY30" s="133">
        <v>1238</v>
      </c>
      <c r="AZ30" s="133">
        <v>441120</v>
      </c>
      <c r="BA30" s="133">
        <v>1000</v>
      </c>
      <c r="BB30" s="132">
        <v>303</v>
      </c>
      <c r="BC30" s="133">
        <v>144720</v>
      </c>
      <c r="BD30" s="132">
        <v>0</v>
      </c>
      <c r="BE30" s="132">
        <v>15</v>
      </c>
      <c r="BF30" s="133">
        <v>5400</v>
      </c>
      <c r="BG30" s="132">
        <v>0</v>
      </c>
      <c r="BH30" s="132">
        <v>33</v>
      </c>
      <c r="BI30" s="133">
        <v>15240</v>
      </c>
      <c r="BJ30" s="132">
        <v>0</v>
      </c>
      <c r="BK30" s="132">
        <v>0</v>
      </c>
      <c r="BL30" s="132">
        <v>0</v>
      </c>
      <c r="BM30" s="132">
        <v>0</v>
      </c>
      <c r="BN30" s="132">
        <v>0</v>
      </c>
      <c r="BO30" s="132">
        <v>0</v>
      </c>
      <c r="BP30" s="132">
        <v>0</v>
      </c>
      <c r="BQ30" s="132">
        <v>0</v>
      </c>
      <c r="BR30" s="134">
        <v>220216.8</v>
      </c>
      <c r="BS30" s="135">
        <v>2062395</v>
      </c>
      <c r="BT30" s="84">
        <f t="shared" si="0"/>
        <v>20640</v>
      </c>
      <c r="BU30" s="84">
        <f t="shared" si="1"/>
        <v>346325</v>
      </c>
      <c r="BV30" s="84">
        <f t="shared" si="2"/>
        <v>315100</v>
      </c>
      <c r="BW30" s="84">
        <f t="shared" si="3"/>
        <v>409800</v>
      </c>
      <c r="BX30" s="84">
        <f t="shared" si="4"/>
        <v>585840</v>
      </c>
      <c r="BY30" s="84">
        <f t="shared" si="5"/>
        <v>0</v>
      </c>
      <c r="BZ30" s="84">
        <f t="shared" si="6"/>
        <v>384690</v>
      </c>
      <c r="CA30" s="84">
        <f t="shared" si="7"/>
        <v>2062395</v>
      </c>
      <c r="CB30" s="84">
        <f t="shared" si="8"/>
        <v>220217</v>
      </c>
      <c r="CC30" s="84">
        <f t="shared" si="9"/>
        <v>1842178</v>
      </c>
      <c r="CD30" s="85">
        <f t="shared" si="10"/>
        <v>1105307</v>
      </c>
      <c r="CF30" s="6" t="s">
        <v>405</v>
      </c>
      <c r="CG30" s="6" t="str">
        <f t="shared" si="11"/>
        <v>2026-01</v>
      </c>
      <c r="CH30" s="5" t="str">
        <f>_xlfn.XLOOKUP('컨텐츠별 매출 통계'!A30,KEY!$C$3:$C$1000,KEY!$B$3:$B$1000)</f>
        <v>진주</v>
      </c>
      <c r="CI30" s="5">
        <f t="shared" si="12"/>
        <v>1105307</v>
      </c>
      <c r="CJ30" s="5">
        <v>0</v>
      </c>
      <c r="CK30" s="5">
        <f t="shared" si="13"/>
        <v>1105307</v>
      </c>
      <c r="CL30" s="5"/>
      <c r="CM30" s="5"/>
      <c r="CN30" s="5">
        <f t="shared" si="14"/>
        <v>1105307</v>
      </c>
      <c r="CO30" s="5">
        <f t="shared" si="15"/>
        <v>0</v>
      </c>
      <c r="CP30" s="5">
        <f t="shared" si="16"/>
        <v>1105307</v>
      </c>
      <c r="CR30" s="45" t="str">
        <f t="shared" si="17"/>
        <v>2026-01월 국내유상이용권 브랜드정산_웹툰&lt;진주&gt;</v>
      </c>
      <c r="CS30" s="45" t="str">
        <f>_xlfn.XLOOKUP(CH30,KEY!$B$3:$B$1000,KEY!$E$3:$E$1000)</f>
        <v>팀 MAJOR_메이저</v>
      </c>
      <c r="CT30" s="45" t="str">
        <f>_xlfn.XLOOKUP(CH30,KEY!$B$3:$B$1000,KEY!$F$3:$F$1000)</f>
        <v>진주</v>
      </c>
      <c r="CU30" s="2" t="s">
        <v>41</v>
      </c>
      <c r="CV30" s="33">
        <f t="shared" si="18"/>
        <v>1105307</v>
      </c>
      <c r="CW30" s="46" t="str">
        <f>_xlfn.XLOOKUP(CS30,KEY!E:E,KEY!G:G)</f>
        <v>W1700</v>
      </c>
      <c r="CX30" s="46" t="str">
        <f>_xlfn.XLOOKUP(CT30,KEY!F:F,KEY!H:H)</f>
        <v>PN045</v>
      </c>
    </row>
    <row r="31" spans="1:102">
      <c r="A31" s="136" t="s">
        <v>113</v>
      </c>
      <c r="B31" s="130">
        <v>452717</v>
      </c>
      <c r="C31" s="131"/>
      <c r="D31" s="130" t="s">
        <v>385</v>
      </c>
      <c r="E31" s="130" t="s">
        <v>201</v>
      </c>
      <c r="F31" s="130" t="s">
        <v>201</v>
      </c>
      <c r="G31" s="132" t="s">
        <v>96</v>
      </c>
      <c r="H31" s="132" t="s">
        <v>202</v>
      </c>
      <c r="I31" s="132">
        <v>0</v>
      </c>
      <c r="J31" s="133">
        <v>59276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Z31" s="132">
        <v>0</v>
      </c>
      <c r="AA31" s="133">
        <v>2072</v>
      </c>
      <c r="AB31" s="133">
        <v>187200</v>
      </c>
      <c r="AC31" s="133">
        <v>144845</v>
      </c>
      <c r="AD31" s="133">
        <v>1036</v>
      </c>
      <c r="AE31" s="133">
        <v>277400</v>
      </c>
      <c r="AF31" s="133">
        <v>184460</v>
      </c>
      <c r="AG31" s="133">
        <v>1086</v>
      </c>
      <c r="AH31" s="133">
        <v>207139</v>
      </c>
      <c r="AI31" s="133">
        <v>14100</v>
      </c>
      <c r="AJ31" s="132">
        <v>197</v>
      </c>
      <c r="AK31" s="133">
        <v>58080</v>
      </c>
      <c r="AL31" s="133">
        <v>39800</v>
      </c>
      <c r="AM31" s="132">
        <v>677</v>
      </c>
      <c r="AN31" s="133">
        <v>88300</v>
      </c>
      <c r="AO31" s="133">
        <v>1500</v>
      </c>
      <c r="AP31" s="132">
        <v>53</v>
      </c>
      <c r="AQ31" s="133">
        <v>32300</v>
      </c>
      <c r="AR31" s="132">
        <v>0</v>
      </c>
      <c r="AS31" s="133">
        <v>1215</v>
      </c>
      <c r="AT31" s="133">
        <v>202237</v>
      </c>
      <c r="AU31" s="132">
        <v>0</v>
      </c>
      <c r="AV31" s="132">
        <v>17</v>
      </c>
      <c r="AW31" s="133">
        <v>120600</v>
      </c>
      <c r="AX31" s="132">
        <v>0</v>
      </c>
      <c r="AY31" s="132">
        <v>744</v>
      </c>
      <c r="AZ31" s="133">
        <v>176040</v>
      </c>
      <c r="BA31" s="132">
        <v>500</v>
      </c>
      <c r="BB31" s="132">
        <v>20</v>
      </c>
      <c r="BC31" s="133">
        <v>43320</v>
      </c>
      <c r="BD31" s="132">
        <v>0</v>
      </c>
      <c r="BE31" s="132">
        <v>0</v>
      </c>
      <c r="BF31" s="132">
        <v>0</v>
      </c>
      <c r="BG31" s="132">
        <v>0</v>
      </c>
      <c r="BH31" s="132">
        <v>0</v>
      </c>
      <c r="BI31" s="132">
        <v>0</v>
      </c>
      <c r="BJ31" s="132">
        <v>0</v>
      </c>
      <c r="BK31" s="132">
        <v>3</v>
      </c>
      <c r="BL31" s="133">
        <v>4300</v>
      </c>
      <c r="BM31" s="132">
        <v>0</v>
      </c>
      <c r="BN31" s="132">
        <v>0</v>
      </c>
      <c r="BO31" s="132">
        <v>0</v>
      </c>
      <c r="BP31" s="132">
        <v>0</v>
      </c>
      <c r="BQ31" s="132">
        <v>0</v>
      </c>
      <c r="BR31" s="134">
        <v>149792.79999999999</v>
      </c>
      <c r="BS31" s="135">
        <v>1782121</v>
      </c>
      <c r="BT31" s="84">
        <f t="shared" si="0"/>
        <v>0</v>
      </c>
      <c r="BU31" s="84">
        <f t="shared" si="1"/>
        <v>385205</v>
      </c>
      <c r="BV31" s="84">
        <f t="shared" si="2"/>
        <v>585200</v>
      </c>
      <c r="BW31" s="84">
        <f t="shared" si="3"/>
        <v>322837</v>
      </c>
      <c r="BX31" s="84">
        <f t="shared" si="4"/>
        <v>219360</v>
      </c>
      <c r="BY31" s="84">
        <f t="shared" si="5"/>
        <v>4300</v>
      </c>
      <c r="BZ31" s="84">
        <f t="shared" si="6"/>
        <v>265219</v>
      </c>
      <c r="CA31" s="84">
        <f t="shared" si="7"/>
        <v>1782121</v>
      </c>
      <c r="CB31" s="84">
        <f t="shared" si="8"/>
        <v>149793</v>
      </c>
      <c r="CC31" s="84">
        <f t="shared" si="9"/>
        <v>1632328</v>
      </c>
      <c r="CD31" s="85">
        <f t="shared" si="10"/>
        <v>979397</v>
      </c>
      <c r="CF31" s="6" t="s">
        <v>405</v>
      </c>
      <c r="CG31" s="6" t="str">
        <f t="shared" si="11"/>
        <v>2026-01</v>
      </c>
      <c r="CH31" s="5" t="str">
        <f>_xlfn.XLOOKUP('컨텐츠별 매출 통계'!A31,KEY!$C$3:$C$1000,KEY!$B$3:$B$1000)</f>
        <v>여고생드래곤</v>
      </c>
      <c r="CI31" s="5">
        <f t="shared" si="12"/>
        <v>979397</v>
      </c>
      <c r="CJ31" s="5">
        <v>0</v>
      </c>
      <c r="CK31" s="5">
        <f t="shared" si="13"/>
        <v>979397</v>
      </c>
      <c r="CL31" s="5"/>
      <c r="CM31" s="5"/>
      <c r="CN31" s="5">
        <f t="shared" si="14"/>
        <v>979397</v>
      </c>
      <c r="CO31" s="5">
        <f t="shared" si="15"/>
        <v>0</v>
      </c>
      <c r="CP31" s="5">
        <f t="shared" si="16"/>
        <v>979397</v>
      </c>
      <c r="CR31" s="45" t="str">
        <f t="shared" si="17"/>
        <v>2026-01월 국내유상이용권 브랜드정산_웹툰&lt;여고생드래곤&gt;</v>
      </c>
      <c r="CS31" s="45" t="str">
        <f>_xlfn.XLOOKUP(CH31,KEY!$B$3:$B$1000,KEY!$E$3:$E$1000)</f>
        <v>전략기획팀</v>
      </c>
      <c r="CT31" s="45" t="str">
        <f>_xlfn.XLOOKUP(CH31,KEY!$B$3:$B$1000,KEY!$F$3:$F$1000)</f>
        <v>여고생드래곤</v>
      </c>
      <c r="CU31" s="2" t="s">
        <v>41</v>
      </c>
      <c r="CV31" s="33">
        <f t="shared" si="18"/>
        <v>979397</v>
      </c>
      <c r="CW31" s="46" t="str">
        <f>_xlfn.XLOOKUP(CS31,KEY!E:E,KEY!G:G)</f>
        <v>B1200</v>
      </c>
      <c r="CX31" s="46" t="str">
        <f>_xlfn.XLOOKUP(CT31,KEY!F:F,KEY!H:H)</f>
        <v>PN010</v>
      </c>
    </row>
    <row r="32" spans="1:102">
      <c r="A32" s="136" t="s">
        <v>131</v>
      </c>
      <c r="B32" s="130">
        <v>518182</v>
      </c>
      <c r="C32" s="131"/>
      <c r="D32" s="130" t="s">
        <v>385</v>
      </c>
      <c r="E32" s="130" t="s">
        <v>165</v>
      </c>
      <c r="F32" s="130" t="s">
        <v>165</v>
      </c>
      <c r="G32" s="132" t="s">
        <v>166</v>
      </c>
      <c r="H32" s="132" t="s">
        <v>203</v>
      </c>
      <c r="I32" s="132">
        <v>0</v>
      </c>
      <c r="J32" s="133">
        <v>23049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Z32" s="132">
        <v>0</v>
      </c>
      <c r="AA32" s="132">
        <v>747</v>
      </c>
      <c r="AB32" s="133">
        <v>106100</v>
      </c>
      <c r="AC32" s="133">
        <v>106255</v>
      </c>
      <c r="AD32" s="132">
        <v>10</v>
      </c>
      <c r="AE32" s="133">
        <v>6500</v>
      </c>
      <c r="AF32" s="133">
        <v>3600</v>
      </c>
      <c r="AG32" s="133">
        <v>1270</v>
      </c>
      <c r="AH32" s="133">
        <v>423630</v>
      </c>
      <c r="AI32" s="133">
        <v>24600</v>
      </c>
      <c r="AJ32" s="132">
        <v>62</v>
      </c>
      <c r="AK32" s="133">
        <v>3840</v>
      </c>
      <c r="AL32" s="133">
        <v>21600</v>
      </c>
      <c r="AM32" s="132">
        <v>171</v>
      </c>
      <c r="AN32" s="133">
        <v>50100</v>
      </c>
      <c r="AO32" s="132">
        <v>900</v>
      </c>
      <c r="AP32" s="132">
        <v>1</v>
      </c>
      <c r="AQ32" s="132">
        <v>400</v>
      </c>
      <c r="AR32" s="132">
        <v>0</v>
      </c>
      <c r="AS32" s="132">
        <v>496</v>
      </c>
      <c r="AT32" s="133">
        <v>174340</v>
      </c>
      <c r="AU32" s="133">
        <v>1000</v>
      </c>
      <c r="AV32" s="132">
        <v>1</v>
      </c>
      <c r="AW32" s="133">
        <v>21480</v>
      </c>
      <c r="AX32" s="132">
        <v>0</v>
      </c>
      <c r="AY32" s="132">
        <v>325</v>
      </c>
      <c r="AZ32" s="133">
        <v>114000</v>
      </c>
      <c r="BA32" s="133">
        <v>1000</v>
      </c>
      <c r="BB32" s="132">
        <v>0</v>
      </c>
      <c r="BC32" s="132">
        <v>0</v>
      </c>
      <c r="BD32" s="132">
        <v>0</v>
      </c>
      <c r="BE32" s="132">
        <v>0</v>
      </c>
      <c r="BF32" s="132">
        <v>0</v>
      </c>
      <c r="BG32" s="132">
        <v>0</v>
      </c>
      <c r="BH32" s="132">
        <v>0</v>
      </c>
      <c r="BI32" s="132">
        <v>0</v>
      </c>
      <c r="BJ32" s="132">
        <v>0</v>
      </c>
      <c r="BK32" s="132">
        <v>44</v>
      </c>
      <c r="BL32" s="133">
        <v>13200</v>
      </c>
      <c r="BM32" s="132">
        <v>0</v>
      </c>
      <c r="BN32" s="132">
        <v>0</v>
      </c>
      <c r="BO32" s="132">
        <v>0</v>
      </c>
      <c r="BP32" s="132">
        <v>0</v>
      </c>
      <c r="BQ32" s="132">
        <v>0</v>
      </c>
      <c r="BR32" s="134">
        <v>164956</v>
      </c>
      <c r="BS32" s="135">
        <v>1072545</v>
      </c>
      <c r="BT32" s="84">
        <f t="shared" si="0"/>
        <v>0</v>
      </c>
      <c r="BU32" s="84">
        <f t="shared" si="1"/>
        <v>158955</v>
      </c>
      <c r="BV32" s="84">
        <f t="shared" si="2"/>
        <v>163100</v>
      </c>
      <c r="BW32" s="84">
        <f t="shared" si="3"/>
        <v>195820</v>
      </c>
      <c r="BX32" s="84">
        <f t="shared" si="4"/>
        <v>114000</v>
      </c>
      <c r="BY32" s="84">
        <f t="shared" si="5"/>
        <v>13200</v>
      </c>
      <c r="BZ32" s="84">
        <f t="shared" si="6"/>
        <v>427470</v>
      </c>
      <c r="CA32" s="84">
        <f t="shared" si="7"/>
        <v>1072545</v>
      </c>
      <c r="CB32" s="84">
        <f t="shared" si="8"/>
        <v>164956</v>
      </c>
      <c r="CC32" s="84">
        <f t="shared" si="9"/>
        <v>907589</v>
      </c>
      <c r="CD32" s="85">
        <f t="shared" si="10"/>
        <v>544553</v>
      </c>
      <c r="CF32" s="6" t="s">
        <v>405</v>
      </c>
      <c r="CG32" s="6" t="str">
        <f t="shared" si="11"/>
        <v>2026-01</v>
      </c>
      <c r="CH32" s="5" t="str">
        <f>_xlfn.XLOOKUP('컨텐츠별 매출 통계'!A32,KEY!$C$3:$C$1000,KEY!$B$3:$B$1000)</f>
        <v>얼짱시대</v>
      </c>
      <c r="CI32" s="5">
        <f t="shared" si="12"/>
        <v>544553</v>
      </c>
      <c r="CJ32" s="5">
        <v>0</v>
      </c>
      <c r="CK32" s="5">
        <f t="shared" si="13"/>
        <v>544553</v>
      </c>
      <c r="CL32" s="5"/>
      <c r="CM32" s="5"/>
      <c r="CN32" s="5">
        <f t="shared" si="14"/>
        <v>544553</v>
      </c>
      <c r="CO32" s="5">
        <f t="shared" si="15"/>
        <v>0</v>
      </c>
      <c r="CP32" s="5">
        <f t="shared" si="16"/>
        <v>544553</v>
      </c>
      <c r="CR32" s="45" t="str">
        <f t="shared" si="17"/>
        <v>2026-01월 국내유상이용권 브랜드정산_웹툰&lt;얼짱시대&gt;</v>
      </c>
      <c r="CS32" s="45" t="str">
        <f>_xlfn.XLOOKUP(CH32,KEY!$B$3:$B$1000,KEY!$E$3:$E$1000)</f>
        <v>제작팀</v>
      </c>
      <c r="CT32" s="45" t="str">
        <f>_xlfn.XLOOKUP(CH32,KEY!$B$3:$B$1000,KEY!$F$3:$F$1000)</f>
        <v>얼짱시대</v>
      </c>
      <c r="CU32" s="2" t="s">
        <v>41</v>
      </c>
      <c r="CV32" s="33">
        <f t="shared" si="18"/>
        <v>544553</v>
      </c>
      <c r="CW32" s="46" t="str">
        <f>_xlfn.XLOOKUP(CS32,KEY!E:E,KEY!G:G)</f>
        <v>W1102</v>
      </c>
      <c r="CX32" s="46" t="str">
        <f>_xlfn.XLOOKUP(CT32,KEY!F:F,KEY!H:H)</f>
        <v>PN021</v>
      </c>
    </row>
    <row r="33" spans="1:102">
      <c r="A33" s="136" t="s">
        <v>140</v>
      </c>
      <c r="B33" s="130">
        <v>549371</v>
      </c>
      <c r="C33" s="131"/>
      <c r="D33" s="130" t="s">
        <v>385</v>
      </c>
      <c r="E33" s="130" t="s">
        <v>178</v>
      </c>
      <c r="F33" s="130" t="s">
        <v>165</v>
      </c>
      <c r="G33" s="132" t="s">
        <v>170</v>
      </c>
      <c r="H33" s="132" t="s">
        <v>179</v>
      </c>
      <c r="I33" s="132">
        <v>0</v>
      </c>
      <c r="J33" s="133">
        <v>20722</v>
      </c>
      <c r="K33" s="132">
        <v>0</v>
      </c>
      <c r="L33" s="132">
        <v>0</v>
      </c>
      <c r="M33" s="132">
        <v>0</v>
      </c>
      <c r="N33" s="132">
        <v>0</v>
      </c>
      <c r="O33" s="132">
        <v>0</v>
      </c>
      <c r="P33" s="132">
        <v>0</v>
      </c>
      <c r="Q33" s="132">
        <v>0</v>
      </c>
      <c r="R33" s="132">
        <v>0</v>
      </c>
      <c r="S33" s="132">
        <v>0</v>
      </c>
      <c r="T33" s="132">
        <v>0</v>
      </c>
      <c r="U33" s="132">
        <v>0</v>
      </c>
      <c r="V33" s="132">
        <v>0</v>
      </c>
      <c r="W33" s="132">
        <v>0</v>
      </c>
      <c r="X33" s="132">
        <v>0</v>
      </c>
      <c r="Y33" s="132">
        <v>0</v>
      </c>
      <c r="Z33" s="132">
        <v>0</v>
      </c>
      <c r="AA33" s="132">
        <v>986</v>
      </c>
      <c r="AB33" s="133">
        <v>113100</v>
      </c>
      <c r="AC33" s="133">
        <v>76955</v>
      </c>
      <c r="AD33" s="132">
        <v>49</v>
      </c>
      <c r="AE33" s="133">
        <v>10800</v>
      </c>
      <c r="AF33" s="133">
        <v>3315</v>
      </c>
      <c r="AG33" s="133">
        <v>2171</v>
      </c>
      <c r="AH33" s="133">
        <v>459720</v>
      </c>
      <c r="AI33" s="133">
        <v>50400</v>
      </c>
      <c r="AJ33" s="132">
        <v>11</v>
      </c>
      <c r="AK33" s="132">
        <v>0</v>
      </c>
      <c r="AL33" s="133">
        <v>3300</v>
      </c>
      <c r="AM33" s="132">
        <v>118</v>
      </c>
      <c r="AN33" s="133">
        <v>23600</v>
      </c>
      <c r="AO33" s="132">
        <v>0</v>
      </c>
      <c r="AP33" s="132">
        <v>0</v>
      </c>
      <c r="AQ33" s="132">
        <v>0</v>
      </c>
      <c r="AR33" s="132">
        <v>0</v>
      </c>
      <c r="AS33" s="132">
        <v>583</v>
      </c>
      <c r="AT33" s="133">
        <v>139572</v>
      </c>
      <c r="AU33" s="132">
        <v>0</v>
      </c>
      <c r="AV33" s="132">
        <v>0</v>
      </c>
      <c r="AW33" s="132">
        <v>0</v>
      </c>
      <c r="AX33" s="132">
        <v>0</v>
      </c>
      <c r="AY33" s="132">
        <v>642</v>
      </c>
      <c r="AZ33" s="133">
        <v>153720</v>
      </c>
      <c r="BA33" s="132">
        <v>200</v>
      </c>
      <c r="BB33" s="132">
        <v>0</v>
      </c>
      <c r="BC33" s="132">
        <v>0</v>
      </c>
      <c r="BD33" s="132">
        <v>0</v>
      </c>
      <c r="BE33" s="132">
        <v>0</v>
      </c>
      <c r="BF33" s="132">
        <v>0</v>
      </c>
      <c r="BG33" s="132">
        <v>0</v>
      </c>
      <c r="BH33" s="132">
        <v>0</v>
      </c>
      <c r="BI33" s="132">
        <v>0</v>
      </c>
      <c r="BJ33" s="132">
        <v>0</v>
      </c>
      <c r="BK33" s="132">
        <v>100</v>
      </c>
      <c r="BL33" s="133">
        <v>20000</v>
      </c>
      <c r="BM33" s="132">
        <v>0</v>
      </c>
      <c r="BN33" s="132">
        <v>0</v>
      </c>
      <c r="BO33" s="132">
        <v>0</v>
      </c>
      <c r="BP33" s="132">
        <v>0</v>
      </c>
      <c r="BQ33" s="132">
        <v>0</v>
      </c>
      <c r="BR33" s="134">
        <v>173133</v>
      </c>
      <c r="BS33" s="135">
        <v>1054682</v>
      </c>
      <c r="BT33" s="84">
        <f t="shared" si="0"/>
        <v>0</v>
      </c>
      <c r="BU33" s="84">
        <f t="shared" si="1"/>
        <v>134170</v>
      </c>
      <c r="BV33" s="84">
        <f t="shared" si="2"/>
        <v>147500</v>
      </c>
      <c r="BW33" s="84">
        <f t="shared" si="3"/>
        <v>139572</v>
      </c>
      <c r="BX33" s="84">
        <f t="shared" si="4"/>
        <v>153720</v>
      </c>
      <c r="BY33" s="84">
        <f t="shared" si="5"/>
        <v>20000</v>
      </c>
      <c r="BZ33" s="84">
        <f t="shared" si="6"/>
        <v>459720</v>
      </c>
      <c r="CA33" s="84">
        <f t="shared" si="7"/>
        <v>1054682</v>
      </c>
      <c r="CB33" s="84">
        <f t="shared" si="8"/>
        <v>173133</v>
      </c>
      <c r="CC33" s="84">
        <f t="shared" si="9"/>
        <v>881549</v>
      </c>
      <c r="CD33" s="85">
        <f t="shared" si="10"/>
        <v>528929</v>
      </c>
      <c r="CF33" s="6" t="s">
        <v>405</v>
      </c>
      <c r="CG33" s="6" t="str">
        <f t="shared" si="11"/>
        <v>2026-01</v>
      </c>
      <c r="CH33" s="5" t="str">
        <f>_xlfn.XLOOKUP('컨텐츠별 매출 통계'!A33,KEY!$C$3:$C$1000,KEY!$B$3:$B$1000)</f>
        <v>좋아?죽어!</v>
      </c>
      <c r="CI33" s="5">
        <f t="shared" si="12"/>
        <v>528929</v>
      </c>
      <c r="CJ33" s="5">
        <v>0</v>
      </c>
      <c r="CK33" s="5">
        <f t="shared" si="13"/>
        <v>528929</v>
      </c>
      <c r="CL33" s="5"/>
      <c r="CM33" s="5"/>
      <c r="CN33" s="5">
        <f t="shared" si="14"/>
        <v>528929</v>
      </c>
      <c r="CO33" s="5">
        <f t="shared" si="15"/>
        <v>0</v>
      </c>
      <c r="CP33" s="5">
        <f t="shared" si="16"/>
        <v>528929</v>
      </c>
      <c r="CR33" s="45" t="str">
        <f t="shared" si="17"/>
        <v>2026-01월 국내유상이용권 브랜드정산_웹툰&lt;좋아?죽어!&gt;</v>
      </c>
      <c r="CS33" s="45" t="str">
        <f>_xlfn.XLOOKUP(CH33,KEY!$B$3:$B$1000,KEY!$E$3:$E$1000)</f>
        <v>전략기획팀</v>
      </c>
      <c r="CT33" s="45" t="str">
        <f>_xlfn.XLOOKUP(CH33,KEY!$B$3:$B$1000,KEY!$F$3:$F$1000)</f>
        <v>좋아?죽어!</v>
      </c>
      <c r="CU33" s="2" t="s">
        <v>41</v>
      </c>
      <c r="CV33" s="33">
        <f t="shared" si="18"/>
        <v>528929</v>
      </c>
      <c r="CW33" s="46" t="str">
        <f>_xlfn.XLOOKUP(CS33,KEY!E:E,KEY!G:G)</f>
        <v>B1200</v>
      </c>
      <c r="CX33" s="46" t="str">
        <f>_xlfn.XLOOKUP(CT33,KEY!F:F,KEY!H:H)</f>
        <v>PN064</v>
      </c>
    </row>
    <row r="34" spans="1:102">
      <c r="A34" s="136" t="s">
        <v>114</v>
      </c>
      <c r="B34" s="130">
        <v>470703</v>
      </c>
      <c r="C34" s="131"/>
      <c r="D34" s="130" t="s">
        <v>385</v>
      </c>
      <c r="E34" s="130" t="s">
        <v>199</v>
      </c>
      <c r="F34" s="130" t="s">
        <v>165</v>
      </c>
      <c r="G34" s="132" t="s">
        <v>166</v>
      </c>
      <c r="H34" s="132" t="s">
        <v>200</v>
      </c>
      <c r="I34" s="132">
        <v>0</v>
      </c>
      <c r="J34" s="133">
        <v>15302</v>
      </c>
      <c r="K34" s="132">
        <v>0</v>
      </c>
      <c r="L34" s="132">
        <v>0</v>
      </c>
      <c r="M34" s="132">
        <v>0</v>
      </c>
      <c r="N34" s="132">
        <v>0</v>
      </c>
      <c r="O34" s="132">
        <v>0</v>
      </c>
      <c r="P34" s="132">
        <v>0</v>
      </c>
      <c r="Q34" s="132">
        <v>0</v>
      </c>
      <c r="R34" s="132">
        <v>0</v>
      </c>
      <c r="S34" s="132">
        <v>0</v>
      </c>
      <c r="T34" s="132">
        <v>0</v>
      </c>
      <c r="U34" s="132">
        <v>0</v>
      </c>
      <c r="V34" s="132">
        <v>0</v>
      </c>
      <c r="W34" s="132">
        <v>0</v>
      </c>
      <c r="X34" s="132">
        <v>0</v>
      </c>
      <c r="Y34" s="132">
        <v>0</v>
      </c>
      <c r="Z34" s="132">
        <v>0</v>
      </c>
      <c r="AA34" s="132">
        <v>546</v>
      </c>
      <c r="AB34" s="133">
        <v>62900</v>
      </c>
      <c r="AC34" s="133">
        <v>96840</v>
      </c>
      <c r="AD34" s="132">
        <v>6</v>
      </c>
      <c r="AE34" s="132">
        <v>0</v>
      </c>
      <c r="AF34" s="133">
        <v>3000</v>
      </c>
      <c r="AG34" s="132">
        <v>901</v>
      </c>
      <c r="AH34" s="133">
        <v>274680</v>
      </c>
      <c r="AI34" s="133">
        <v>40500</v>
      </c>
      <c r="AJ34" s="132">
        <v>83</v>
      </c>
      <c r="AK34" s="133">
        <v>66840</v>
      </c>
      <c r="AL34" s="133">
        <v>7500</v>
      </c>
      <c r="AM34" s="132">
        <v>154</v>
      </c>
      <c r="AN34" s="133">
        <v>45000</v>
      </c>
      <c r="AO34" s="133">
        <v>1100</v>
      </c>
      <c r="AP34" s="132">
        <v>67</v>
      </c>
      <c r="AQ34" s="133">
        <v>32900</v>
      </c>
      <c r="AR34" s="132">
        <v>600</v>
      </c>
      <c r="AS34" s="132">
        <v>399</v>
      </c>
      <c r="AT34" s="133">
        <v>140580</v>
      </c>
      <c r="AU34" s="132">
        <v>0</v>
      </c>
      <c r="AV34" s="132">
        <v>5</v>
      </c>
      <c r="AW34" s="133">
        <v>3000</v>
      </c>
      <c r="AX34" s="132">
        <v>0</v>
      </c>
      <c r="AY34" s="132">
        <v>522</v>
      </c>
      <c r="AZ34" s="133">
        <v>186720</v>
      </c>
      <c r="BA34" s="132">
        <v>0</v>
      </c>
      <c r="BB34" s="132">
        <v>0</v>
      </c>
      <c r="BC34" s="132">
        <v>0</v>
      </c>
      <c r="BD34" s="132">
        <v>0</v>
      </c>
      <c r="BE34" s="132">
        <v>0</v>
      </c>
      <c r="BF34" s="132">
        <v>0</v>
      </c>
      <c r="BG34" s="132">
        <v>0</v>
      </c>
      <c r="BH34" s="132">
        <v>0</v>
      </c>
      <c r="BI34" s="132">
        <v>0</v>
      </c>
      <c r="BJ34" s="132">
        <v>0</v>
      </c>
      <c r="BK34" s="132">
        <v>0</v>
      </c>
      <c r="BL34" s="132">
        <v>0</v>
      </c>
      <c r="BM34" s="132">
        <v>0</v>
      </c>
      <c r="BN34" s="132">
        <v>0</v>
      </c>
      <c r="BO34" s="132">
        <v>0</v>
      </c>
      <c r="BP34" s="132">
        <v>0</v>
      </c>
      <c r="BQ34" s="132">
        <v>0</v>
      </c>
      <c r="BR34" s="134">
        <v>137842.79999999999</v>
      </c>
      <c r="BS34" s="135">
        <v>962160</v>
      </c>
      <c r="BT34" s="84">
        <f t="shared" si="0"/>
        <v>0</v>
      </c>
      <c r="BU34" s="84">
        <f t="shared" si="1"/>
        <v>149540</v>
      </c>
      <c r="BV34" s="84">
        <f t="shared" si="2"/>
        <v>140800</v>
      </c>
      <c r="BW34" s="84">
        <f t="shared" si="3"/>
        <v>143580</v>
      </c>
      <c r="BX34" s="84">
        <f t="shared" si="4"/>
        <v>186720</v>
      </c>
      <c r="BY34" s="84">
        <f t="shared" si="5"/>
        <v>0</v>
      </c>
      <c r="BZ34" s="84">
        <f t="shared" si="6"/>
        <v>341520</v>
      </c>
      <c r="CA34" s="84">
        <f t="shared" si="7"/>
        <v>962160</v>
      </c>
      <c r="CB34" s="84">
        <f t="shared" si="8"/>
        <v>137843</v>
      </c>
      <c r="CC34" s="84">
        <f t="shared" si="9"/>
        <v>824317</v>
      </c>
      <c r="CD34" s="85">
        <f t="shared" si="10"/>
        <v>494590</v>
      </c>
      <c r="CF34" s="6" t="s">
        <v>405</v>
      </c>
      <c r="CG34" s="6" t="str">
        <f t="shared" si="11"/>
        <v>2026-01</v>
      </c>
      <c r="CH34" s="5" t="str">
        <f>_xlfn.XLOOKUP('컨텐츠별 매출 통계'!A34,KEY!$C$3:$C$1000,KEY!$B$3:$B$1000)</f>
        <v>사형소년</v>
      </c>
      <c r="CI34" s="5">
        <f t="shared" si="12"/>
        <v>494590</v>
      </c>
      <c r="CJ34" s="5">
        <v>0</v>
      </c>
      <c r="CK34" s="5">
        <f t="shared" si="13"/>
        <v>494590</v>
      </c>
      <c r="CL34" s="5"/>
      <c r="CM34" s="5"/>
      <c r="CN34" s="5">
        <f t="shared" si="14"/>
        <v>494590</v>
      </c>
      <c r="CO34" s="5">
        <f t="shared" si="15"/>
        <v>0</v>
      </c>
      <c r="CP34" s="5">
        <f t="shared" si="16"/>
        <v>494590</v>
      </c>
      <c r="CR34" s="45" t="str">
        <f t="shared" si="17"/>
        <v>2026-01월 국내유상이용권 브랜드정산_웹툰&lt;사형소년&gt;</v>
      </c>
      <c r="CS34" s="45" t="str">
        <f>_xlfn.XLOOKUP(CH34,KEY!$B$3:$B$1000,KEY!$E$3:$E$1000)</f>
        <v>팀 숭늉</v>
      </c>
      <c r="CT34" s="45" t="str">
        <f>_xlfn.XLOOKUP(CH34,KEY!$B$3:$B$1000,KEY!$F$3:$F$1000)</f>
        <v>사형소년</v>
      </c>
      <c r="CU34" s="2" t="s">
        <v>41</v>
      </c>
      <c r="CV34" s="33">
        <f t="shared" si="18"/>
        <v>494590</v>
      </c>
      <c r="CW34" s="46" t="str">
        <f>_xlfn.XLOOKUP(CS34,KEY!E:E,KEY!G:G)</f>
        <v>W1500</v>
      </c>
      <c r="CX34" s="46" t="str">
        <f>_xlfn.XLOOKUP(CT34,KEY!F:F,KEY!H:H)</f>
        <v>PN011</v>
      </c>
    </row>
    <row r="35" spans="1:102">
      <c r="A35" s="136" t="s">
        <v>134</v>
      </c>
      <c r="B35" s="130">
        <v>545140</v>
      </c>
      <c r="C35" s="131"/>
      <c r="D35" s="130" t="s">
        <v>385</v>
      </c>
      <c r="E35" s="130" t="s">
        <v>185</v>
      </c>
      <c r="F35" s="130" t="s">
        <v>165</v>
      </c>
      <c r="G35" s="132" t="s">
        <v>166</v>
      </c>
      <c r="H35" s="132" t="s">
        <v>186</v>
      </c>
      <c r="I35" s="132">
        <v>0</v>
      </c>
      <c r="J35" s="133">
        <v>21924</v>
      </c>
      <c r="K35" s="132">
        <v>0</v>
      </c>
      <c r="L35" s="132">
        <v>0</v>
      </c>
      <c r="M35" s="132">
        <v>0</v>
      </c>
      <c r="N35" s="132">
        <v>0</v>
      </c>
      <c r="O35" s="132">
        <v>0</v>
      </c>
      <c r="P35" s="132">
        <v>0</v>
      </c>
      <c r="Q35" s="132">
        <v>0</v>
      </c>
      <c r="R35" s="132">
        <v>0</v>
      </c>
      <c r="S35" s="132">
        <v>0</v>
      </c>
      <c r="T35" s="132">
        <v>0</v>
      </c>
      <c r="U35" s="132">
        <v>0</v>
      </c>
      <c r="V35" s="132">
        <v>0</v>
      </c>
      <c r="W35" s="132">
        <v>0</v>
      </c>
      <c r="X35" s="132">
        <v>0</v>
      </c>
      <c r="Y35" s="132">
        <v>0</v>
      </c>
      <c r="Z35" s="132">
        <v>0</v>
      </c>
      <c r="AA35" s="132">
        <v>400</v>
      </c>
      <c r="AB35" s="133">
        <v>58600</v>
      </c>
      <c r="AC35" s="133">
        <v>54635</v>
      </c>
      <c r="AD35" s="132">
        <v>137</v>
      </c>
      <c r="AE35" s="133">
        <v>44200</v>
      </c>
      <c r="AF35" s="133">
        <v>31930</v>
      </c>
      <c r="AG35" s="132">
        <v>796</v>
      </c>
      <c r="AH35" s="133">
        <v>261068</v>
      </c>
      <c r="AI35" s="133">
        <v>19900</v>
      </c>
      <c r="AJ35" s="132">
        <v>24</v>
      </c>
      <c r="AK35" s="133">
        <v>11280</v>
      </c>
      <c r="AL35" s="132">
        <v>0</v>
      </c>
      <c r="AM35" s="132">
        <v>83</v>
      </c>
      <c r="AN35" s="133">
        <v>24100</v>
      </c>
      <c r="AO35" s="132">
        <v>600</v>
      </c>
      <c r="AP35" s="132">
        <v>54</v>
      </c>
      <c r="AQ35" s="133">
        <v>26400</v>
      </c>
      <c r="AR35" s="132">
        <v>0</v>
      </c>
      <c r="AS35" s="132">
        <v>520</v>
      </c>
      <c r="AT35" s="133">
        <v>185760</v>
      </c>
      <c r="AU35" s="132">
        <v>0</v>
      </c>
      <c r="AV35" s="132">
        <v>4</v>
      </c>
      <c r="AW35" s="133">
        <v>17280</v>
      </c>
      <c r="AX35" s="132">
        <v>0</v>
      </c>
      <c r="AY35" s="132">
        <v>292</v>
      </c>
      <c r="AZ35" s="133">
        <v>102960</v>
      </c>
      <c r="BA35" s="133">
        <v>1000</v>
      </c>
      <c r="BB35" s="132">
        <v>49</v>
      </c>
      <c r="BC35" s="133">
        <v>23520</v>
      </c>
      <c r="BD35" s="132">
        <v>0</v>
      </c>
      <c r="BE35" s="132">
        <v>1</v>
      </c>
      <c r="BF35" s="132">
        <v>360</v>
      </c>
      <c r="BG35" s="132">
        <v>0</v>
      </c>
      <c r="BH35" s="132">
        <v>0</v>
      </c>
      <c r="BI35" s="132">
        <v>0</v>
      </c>
      <c r="BJ35" s="132">
        <v>0</v>
      </c>
      <c r="BK35" s="132">
        <v>0</v>
      </c>
      <c r="BL35" s="132">
        <v>0</v>
      </c>
      <c r="BM35" s="132">
        <v>0</v>
      </c>
      <c r="BN35" s="132">
        <v>0</v>
      </c>
      <c r="BO35" s="132">
        <v>0</v>
      </c>
      <c r="BP35" s="132">
        <v>0</v>
      </c>
      <c r="BQ35" s="132">
        <v>0</v>
      </c>
      <c r="BR35" s="134">
        <v>118019.4</v>
      </c>
      <c r="BS35" s="135">
        <v>863593</v>
      </c>
      <c r="BT35" s="84">
        <f t="shared" si="0"/>
        <v>360</v>
      </c>
      <c r="BU35" s="84">
        <f t="shared" si="1"/>
        <v>108065</v>
      </c>
      <c r="BV35" s="84">
        <f t="shared" si="2"/>
        <v>153300</v>
      </c>
      <c r="BW35" s="84">
        <f t="shared" si="3"/>
        <v>203040</v>
      </c>
      <c r="BX35" s="84">
        <f t="shared" si="4"/>
        <v>126480</v>
      </c>
      <c r="BY35" s="84">
        <f t="shared" si="5"/>
        <v>0</v>
      </c>
      <c r="BZ35" s="84">
        <f t="shared" si="6"/>
        <v>272348</v>
      </c>
      <c r="CA35" s="84">
        <f t="shared" si="7"/>
        <v>863593</v>
      </c>
      <c r="CB35" s="84">
        <f t="shared" si="8"/>
        <v>118019</v>
      </c>
      <c r="CC35" s="84">
        <f t="shared" si="9"/>
        <v>745574</v>
      </c>
      <c r="CD35" s="85">
        <f t="shared" si="10"/>
        <v>447344</v>
      </c>
      <c r="CF35" s="6" t="s">
        <v>405</v>
      </c>
      <c r="CG35" s="6" t="str">
        <f t="shared" si="11"/>
        <v>2026-01</v>
      </c>
      <c r="CH35" s="5" t="str">
        <f>_xlfn.XLOOKUP('컨텐츠별 매출 통계'!A35,KEY!$C$3:$C$1000,KEY!$B$3:$B$1000)</f>
        <v>인생존망2</v>
      </c>
      <c r="CI35" s="5">
        <f t="shared" si="12"/>
        <v>447344</v>
      </c>
      <c r="CJ35" s="5">
        <v>0</v>
      </c>
      <c r="CK35" s="5">
        <f t="shared" si="13"/>
        <v>447344</v>
      </c>
      <c r="CL35" s="5"/>
      <c r="CM35" s="5"/>
      <c r="CN35" s="5">
        <f t="shared" si="14"/>
        <v>447344</v>
      </c>
      <c r="CO35" s="5">
        <f t="shared" si="15"/>
        <v>0</v>
      </c>
      <c r="CP35" s="5">
        <f t="shared" si="16"/>
        <v>447344</v>
      </c>
      <c r="CR35" s="45" t="str">
        <f t="shared" si="17"/>
        <v>2026-01월 국내유상이용권 브랜드정산_웹툰&lt;인생존망2&gt;</v>
      </c>
      <c r="CS35" s="45" t="str">
        <f>_xlfn.XLOOKUP(CH35,KEY!$B$3:$B$1000,KEY!$E$3:$E$1000)</f>
        <v>팀 박태준_공통</v>
      </c>
      <c r="CT35" s="45" t="str">
        <f>_xlfn.XLOOKUP(CH35,KEY!$B$3:$B$1000,KEY!$F$3:$F$1000)</f>
        <v>인생존망2</v>
      </c>
      <c r="CU35" s="2" t="s">
        <v>41</v>
      </c>
      <c r="CV35" s="33">
        <f t="shared" si="18"/>
        <v>447344</v>
      </c>
      <c r="CW35" s="46" t="str">
        <f>_xlfn.XLOOKUP(CS35,KEY!E:E,KEY!G:G)</f>
        <v>W1199</v>
      </c>
      <c r="CX35" s="46" t="str">
        <f>_xlfn.XLOOKUP(CT35,KEY!F:F,KEY!H:H)</f>
        <v>PN023</v>
      </c>
    </row>
    <row r="36" spans="1:102">
      <c r="A36" s="136" t="s">
        <v>111</v>
      </c>
      <c r="B36" s="130">
        <v>450429</v>
      </c>
      <c r="C36" s="131"/>
      <c r="D36" s="130" t="s">
        <v>385</v>
      </c>
      <c r="E36" s="130" t="s">
        <v>165</v>
      </c>
      <c r="F36" s="130" t="s">
        <v>165</v>
      </c>
      <c r="G36" s="132" t="s">
        <v>170</v>
      </c>
      <c r="H36" s="132" t="s">
        <v>196</v>
      </c>
      <c r="I36" s="132">
        <v>0</v>
      </c>
      <c r="J36" s="133">
        <v>17827</v>
      </c>
      <c r="K36" s="132">
        <v>0</v>
      </c>
      <c r="L36" s="132">
        <v>0</v>
      </c>
      <c r="M36" s="132">
        <v>0</v>
      </c>
      <c r="N36" s="132">
        <v>0</v>
      </c>
      <c r="O36" s="132">
        <v>0</v>
      </c>
      <c r="P36" s="132">
        <v>0</v>
      </c>
      <c r="Q36" s="132">
        <v>0</v>
      </c>
      <c r="R36" s="132">
        <v>0</v>
      </c>
      <c r="S36" s="132">
        <v>0</v>
      </c>
      <c r="T36" s="132">
        <v>0</v>
      </c>
      <c r="U36" s="132">
        <v>0</v>
      </c>
      <c r="V36" s="132">
        <v>0</v>
      </c>
      <c r="W36" s="132">
        <v>0</v>
      </c>
      <c r="X36" s="132">
        <v>0</v>
      </c>
      <c r="Y36" s="132">
        <v>0</v>
      </c>
      <c r="Z36" s="132">
        <v>0</v>
      </c>
      <c r="AA36" s="132">
        <v>559</v>
      </c>
      <c r="AB36" s="133">
        <v>103100</v>
      </c>
      <c r="AC36" s="133">
        <v>95650</v>
      </c>
      <c r="AD36" s="132">
        <v>3</v>
      </c>
      <c r="AE36" s="133">
        <v>9400</v>
      </c>
      <c r="AF36" s="133">
        <v>2900</v>
      </c>
      <c r="AG36" s="132">
        <v>888</v>
      </c>
      <c r="AH36" s="133">
        <v>335722</v>
      </c>
      <c r="AI36" s="133">
        <v>41200</v>
      </c>
      <c r="AJ36" s="132">
        <v>0</v>
      </c>
      <c r="AK36" s="132">
        <v>0</v>
      </c>
      <c r="AL36" s="132">
        <v>0</v>
      </c>
      <c r="AM36" s="132">
        <v>37</v>
      </c>
      <c r="AN36" s="133">
        <v>12200</v>
      </c>
      <c r="AO36" s="132">
        <v>0</v>
      </c>
      <c r="AP36" s="132">
        <v>0</v>
      </c>
      <c r="AQ36" s="132">
        <v>0</v>
      </c>
      <c r="AR36" s="132">
        <v>0</v>
      </c>
      <c r="AS36" s="132">
        <v>239</v>
      </c>
      <c r="AT36" s="133">
        <v>105293</v>
      </c>
      <c r="AU36" s="132">
        <v>500</v>
      </c>
      <c r="AV36" s="132">
        <v>0</v>
      </c>
      <c r="AW36" s="132">
        <v>0</v>
      </c>
      <c r="AX36" s="132">
        <v>0</v>
      </c>
      <c r="AY36" s="132">
        <v>293</v>
      </c>
      <c r="AZ36" s="133">
        <v>128640</v>
      </c>
      <c r="BA36" s="132">
        <v>200</v>
      </c>
      <c r="BB36" s="132">
        <v>4</v>
      </c>
      <c r="BC36" s="133">
        <v>3960</v>
      </c>
      <c r="BD36" s="132">
        <v>0</v>
      </c>
      <c r="BE36" s="132">
        <v>0</v>
      </c>
      <c r="BF36" s="132">
        <v>0</v>
      </c>
      <c r="BG36" s="132">
        <v>0</v>
      </c>
      <c r="BH36" s="132">
        <v>0</v>
      </c>
      <c r="BI36" s="132">
        <v>0</v>
      </c>
      <c r="BJ36" s="132">
        <v>0</v>
      </c>
      <c r="BK36" s="132">
        <v>0</v>
      </c>
      <c r="BL36" s="132">
        <v>0</v>
      </c>
      <c r="BM36" s="132">
        <v>0</v>
      </c>
      <c r="BN36" s="132">
        <v>0</v>
      </c>
      <c r="BO36" s="132">
        <v>0</v>
      </c>
      <c r="BP36" s="132">
        <v>0</v>
      </c>
      <c r="BQ36" s="132">
        <v>37</v>
      </c>
      <c r="BR36" s="134">
        <v>126919.8</v>
      </c>
      <c r="BS36" s="135">
        <v>838765</v>
      </c>
      <c r="BT36" s="84">
        <f t="shared" si="0"/>
        <v>0</v>
      </c>
      <c r="BU36" s="84">
        <f t="shared" si="1"/>
        <v>140450</v>
      </c>
      <c r="BV36" s="84">
        <f t="shared" si="2"/>
        <v>124700</v>
      </c>
      <c r="BW36" s="84">
        <f t="shared" si="3"/>
        <v>105293</v>
      </c>
      <c r="BX36" s="84">
        <f t="shared" si="4"/>
        <v>132600</v>
      </c>
      <c r="BY36" s="84">
        <f t="shared" si="5"/>
        <v>0</v>
      </c>
      <c r="BZ36" s="84">
        <f t="shared" si="6"/>
        <v>335722</v>
      </c>
      <c r="CA36" s="84">
        <f t="shared" si="7"/>
        <v>838765</v>
      </c>
      <c r="CB36" s="84">
        <f t="shared" si="8"/>
        <v>126920</v>
      </c>
      <c r="CC36" s="84">
        <f t="shared" si="9"/>
        <v>711845</v>
      </c>
      <c r="CD36" s="85">
        <f t="shared" si="10"/>
        <v>427107</v>
      </c>
      <c r="CF36" s="6" t="s">
        <v>405</v>
      </c>
      <c r="CG36" s="6" t="str">
        <f t="shared" si="11"/>
        <v>2026-01</v>
      </c>
      <c r="CH36" s="5" t="str">
        <f>_xlfn.XLOOKUP('컨텐츠별 매출 통계'!A36,KEY!$C$3:$C$1000,KEY!$B$3:$B$1000)</f>
        <v>신림/남/22</v>
      </c>
      <c r="CI36" s="5">
        <f t="shared" si="12"/>
        <v>427107</v>
      </c>
      <c r="CJ36" s="5">
        <v>0</v>
      </c>
      <c r="CK36" s="5">
        <f t="shared" si="13"/>
        <v>427107</v>
      </c>
      <c r="CL36" s="5"/>
      <c r="CM36" s="5"/>
      <c r="CN36" s="5">
        <f t="shared" si="14"/>
        <v>427107</v>
      </c>
      <c r="CO36" s="5">
        <f t="shared" si="15"/>
        <v>0</v>
      </c>
      <c r="CP36" s="5">
        <f t="shared" si="16"/>
        <v>427107</v>
      </c>
      <c r="CR36" s="45" t="str">
        <f t="shared" si="17"/>
        <v>2026-01월 국내유상이용권 브랜드정산_웹툰&lt;신림/남/22&gt;</v>
      </c>
      <c r="CS36" s="45" t="str">
        <f>_xlfn.XLOOKUP(CH36,KEY!$B$3:$B$1000,KEY!$E$3:$E$1000)</f>
        <v>팀 꿀빨</v>
      </c>
      <c r="CT36" s="45" t="str">
        <f>_xlfn.XLOOKUP(CH36,KEY!$B$3:$B$1000,KEY!$F$3:$F$1000)</f>
        <v>신림/남/22</v>
      </c>
      <c r="CU36" s="2" t="s">
        <v>41</v>
      </c>
      <c r="CV36" s="33">
        <f t="shared" si="18"/>
        <v>427107</v>
      </c>
      <c r="CW36" s="46" t="str">
        <f>_xlfn.XLOOKUP(CS36,KEY!E:E,KEY!G:G)</f>
        <v>W1300</v>
      </c>
      <c r="CX36" s="46" t="str">
        <f>_xlfn.XLOOKUP(CT36,KEY!F:F,KEY!H:H)</f>
        <v>PN009</v>
      </c>
    </row>
    <row r="37" spans="1:102">
      <c r="A37" s="136" t="s">
        <v>156</v>
      </c>
      <c r="B37" s="130">
        <v>593379</v>
      </c>
      <c r="C37" s="131"/>
      <c r="D37" s="130" t="s">
        <v>385</v>
      </c>
      <c r="E37" s="130" t="s">
        <v>183</v>
      </c>
      <c r="F37" s="130" t="s">
        <v>183</v>
      </c>
      <c r="G37" s="132" t="s">
        <v>166</v>
      </c>
      <c r="H37" s="132" t="s">
        <v>373</v>
      </c>
      <c r="I37" s="132">
        <v>0</v>
      </c>
      <c r="J37" s="133">
        <v>7068</v>
      </c>
      <c r="K37" s="132">
        <v>0</v>
      </c>
      <c r="L37" s="132">
        <v>0</v>
      </c>
      <c r="M37" s="132">
        <v>0</v>
      </c>
      <c r="N37" s="132">
        <v>0</v>
      </c>
      <c r="O37" s="132">
        <v>0</v>
      </c>
      <c r="P37" s="132">
        <v>0</v>
      </c>
      <c r="Q37" s="132">
        <v>0</v>
      </c>
      <c r="R37" s="132">
        <v>0</v>
      </c>
      <c r="S37" s="132">
        <v>0</v>
      </c>
      <c r="T37" s="132">
        <v>0</v>
      </c>
      <c r="U37" s="132">
        <v>0</v>
      </c>
      <c r="V37" s="132">
        <v>0</v>
      </c>
      <c r="W37" s="132">
        <v>0</v>
      </c>
      <c r="X37" s="132">
        <v>0</v>
      </c>
      <c r="Y37" s="132">
        <v>0</v>
      </c>
      <c r="Z37" s="132">
        <v>0</v>
      </c>
      <c r="AA37" s="132">
        <v>672</v>
      </c>
      <c r="AB37" s="133">
        <v>90260</v>
      </c>
      <c r="AC37" s="133">
        <v>101515</v>
      </c>
      <c r="AD37" s="132">
        <v>1</v>
      </c>
      <c r="AE37" s="132">
        <v>0</v>
      </c>
      <c r="AF37" s="133">
        <v>2000</v>
      </c>
      <c r="AG37" s="132">
        <v>456</v>
      </c>
      <c r="AH37" s="133">
        <v>154314</v>
      </c>
      <c r="AI37" s="133">
        <v>7400</v>
      </c>
      <c r="AJ37" s="132">
        <v>0</v>
      </c>
      <c r="AK37" s="132">
        <v>0</v>
      </c>
      <c r="AL37" s="132">
        <v>0</v>
      </c>
      <c r="AM37" s="132">
        <v>173</v>
      </c>
      <c r="AN37" s="133">
        <v>49400</v>
      </c>
      <c r="AO37" s="133">
        <v>2300</v>
      </c>
      <c r="AP37" s="132">
        <v>43</v>
      </c>
      <c r="AQ37" s="133">
        <v>17200</v>
      </c>
      <c r="AR37" s="132">
        <v>0</v>
      </c>
      <c r="AS37" s="132">
        <v>380</v>
      </c>
      <c r="AT37" s="133">
        <v>132778</v>
      </c>
      <c r="AU37" s="132">
        <v>0</v>
      </c>
      <c r="AV37" s="132">
        <v>0</v>
      </c>
      <c r="AW37" s="132">
        <v>0</v>
      </c>
      <c r="AX37" s="132">
        <v>0</v>
      </c>
      <c r="AY37" s="132">
        <v>674</v>
      </c>
      <c r="AZ37" s="133">
        <v>240840</v>
      </c>
      <c r="BA37" s="132">
        <v>200</v>
      </c>
      <c r="BB37" s="132">
        <v>29</v>
      </c>
      <c r="BC37" s="133">
        <v>13920</v>
      </c>
      <c r="BD37" s="132">
        <v>0</v>
      </c>
      <c r="BE37" s="132">
        <v>1</v>
      </c>
      <c r="BF37" s="132">
        <v>360</v>
      </c>
      <c r="BG37" s="132">
        <v>0</v>
      </c>
      <c r="BH37" s="132">
        <v>0</v>
      </c>
      <c r="BI37" s="132">
        <v>0</v>
      </c>
      <c r="BJ37" s="132">
        <v>0</v>
      </c>
      <c r="BK37" s="132">
        <v>0</v>
      </c>
      <c r="BL37" s="132">
        <v>0</v>
      </c>
      <c r="BM37" s="132">
        <v>0</v>
      </c>
      <c r="BN37" s="132">
        <v>0</v>
      </c>
      <c r="BO37" s="132">
        <v>0</v>
      </c>
      <c r="BP37" s="132">
        <v>0</v>
      </c>
      <c r="BQ37" s="132">
        <v>0</v>
      </c>
      <c r="BR37" s="134">
        <v>87235</v>
      </c>
      <c r="BS37" s="135">
        <v>812487</v>
      </c>
      <c r="BT37" s="84">
        <f t="shared" si="0"/>
        <v>360</v>
      </c>
      <c r="BU37" s="84">
        <f t="shared" si="1"/>
        <v>113415</v>
      </c>
      <c r="BV37" s="84">
        <f t="shared" si="2"/>
        <v>156860</v>
      </c>
      <c r="BW37" s="84">
        <f t="shared" si="3"/>
        <v>132778</v>
      </c>
      <c r="BX37" s="84">
        <f t="shared" si="4"/>
        <v>254760</v>
      </c>
      <c r="BY37" s="84">
        <f t="shared" si="5"/>
        <v>0</v>
      </c>
      <c r="BZ37" s="84">
        <f t="shared" si="6"/>
        <v>154314</v>
      </c>
      <c r="CA37" s="84">
        <f t="shared" si="7"/>
        <v>812487</v>
      </c>
      <c r="CB37" s="84">
        <f t="shared" si="8"/>
        <v>87235</v>
      </c>
      <c r="CC37" s="84">
        <f t="shared" si="9"/>
        <v>725252</v>
      </c>
      <c r="CD37" s="85">
        <f t="shared" si="10"/>
        <v>435151</v>
      </c>
      <c r="CF37" s="6" t="s">
        <v>405</v>
      </c>
      <c r="CG37" s="6" t="str">
        <f t="shared" si="11"/>
        <v>2026-01</v>
      </c>
      <c r="CH37" s="5" t="str">
        <f>_xlfn.XLOOKUP('컨텐츠별 매출 통계'!A37,KEY!$C$3:$C$1000,KEY!$B$3:$B$1000)</f>
        <v>벤타블랙</v>
      </c>
      <c r="CI37" s="5">
        <f t="shared" si="12"/>
        <v>435151</v>
      </c>
      <c r="CJ37" s="5">
        <v>0</v>
      </c>
      <c r="CK37" s="5">
        <f t="shared" si="13"/>
        <v>435151</v>
      </c>
      <c r="CL37" s="5"/>
      <c r="CM37" s="5"/>
      <c r="CN37" s="5">
        <f t="shared" si="14"/>
        <v>435151</v>
      </c>
      <c r="CO37" s="5">
        <f t="shared" si="15"/>
        <v>0</v>
      </c>
      <c r="CP37" s="5">
        <f t="shared" si="16"/>
        <v>435151</v>
      </c>
      <c r="CR37" s="45" t="str">
        <f t="shared" si="17"/>
        <v>2026-01월 국내유상이용권 브랜드정산_웹툰&lt;벤타블랙&gt;</v>
      </c>
      <c r="CS37" s="45" t="str">
        <f>_xlfn.XLOOKUP(CH37,KEY!$B$3:$B$1000,KEY!$E$3:$E$1000)</f>
        <v>팀 MAJOR_메이저</v>
      </c>
      <c r="CT37" s="45" t="str">
        <f>_xlfn.XLOOKUP(CH37,KEY!$B$3:$B$1000,KEY!$F$3:$F$1000)</f>
        <v>벤타블랙(가제.가드)</v>
      </c>
      <c r="CU37" s="2" t="s">
        <v>41</v>
      </c>
      <c r="CV37" s="33">
        <f t="shared" si="18"/>
        <v>435151</v>
      </c>
      <c r="CW37" s="46" t="str">
        <f>_xlfn.XLOOKUP(CS37,KEY!E:E,KEY!G:G)</f>
        <v>W1700</v>
      </c>
      <c r="CX37" s="46" t="str">
        <f>_xlfn.XLOOKUP(CT37,KEY!F:F,KEY!H:H)</f>
        <v>PN043</v>
      </c>
    </row>
    <row r="38" spans="1:102">
      <c r="A38" s="136" t="s">
        <v>120</v>
      </c>
      <c r="B38" s="130">
        <v>488013</v>
      </c>
      <c r="C38" s="131"/>
      <c r="D38" s="130" t="s">
        <v>385</v>
      </c>
      <c r="E38" s="130" t="s">
        <v>206</v>
      </c>
      <c r="F38" s="130" t="s">
        <v>165</v>
      </c>
      <c r="G38" s="132" t="s">
        <v>166</v>
      </c>
      <c r="H38" s="132" t="s">
        <v>207</v>
      </c>
      <c r="I38" s="132">
        <v>0</v>
      </c>
      <c r="J38" s="133">
        <v>11196</v>
      </c>
      <c r="K38" s="132">
        <v>0</v>
      </c>
      <c r="L38" s="132">
        <v>0</v>
      </c>
      <c r="M38" s="132">
        <v>0</v>
      </c>
      <c r="N38" s="132">
        <v>0</v>
      </c>
      <c r="O38" s="132">
        <v>0</v>
      </c>
      <c r="P38" s="132">
        <v>0</v>
      </c>
      <c r="Q38" s="132">
        <v>0</v>
      </c>
      <c r="R38" s="132">
        <v>0</v>
      </c>
      <c r="S38" s="132">
        <v>0</v>
      </c>
      <c r="T38" s="132">
        <v>0</v>
      </c>
      <c r="U38" s="132">
        <v>0</v>
      </c>
      <c r="V38" s="132">
        <v>0</v>
      </c>
      <c r="W38" s="132">
        <v>0</v>
      </c>
      <c r="X38" s="132">
        <v>0</v>
      </c>
      <c r="Y38" s="132">
        <v>0</v>
      </c>
      <c r="Z38" s="132">
        <v>0</v>
      </c>
      <c r="AA38" s="133">
        <v>1031</v>
      </c>
      <c r="AB38" s="133">
        <v>74500</v>
      </c>
      <c r="AC38" s="133">
        <v>122485</v>
      </c>
      <c r="AD38" s="132">
        <v>121</v>
      </c>
      <c r="AE38" s="133">
        <v>11700</v>
      </c>
      <c r="AF38" s="133">
        <v>24945</v>
      </c>
      <c r="AG38" s="133">
        <v>1125</v>
      </c>
      <c r="AH38" s="133">
        <v>211356</v>
      </c>
      <c r="AI38" s="133">
        <v>49800</v>
      </c>
      <c r="AJ38" s="132">
        <v>72</v>
      </c>
      <c r="AK38" s="133">
        <v>2160</v>
      </c>
      <c r="AL38" s="133">
        <v>19800</v>
      </c>
      <c r="AM38" s="132">
        <v>68</v>
      </c>
      <c r="AN38" s="133">
        <v>13300</v>
      </c>
      <c r="AO38" s="132">
        <v>200</v>
      </c>
      <c r="AP38" s="132">
        <v>2</v>
      </c>
      <c r="AQ38" s="132">
        <v>600</v>
      </c>
      <c r="AR38" s="132">
        <v>0</v>
      </c>
      <c r="AS38" s="132">
        <v>493</v>
      </c>
      <c r="AT38" s="133">
        <v>117560</v>
      </c>
      <c r="AU38" s="132">
        <v>200</v>
      </c>
      <c r="AV38" s="132">
        <v>3</v>
      </c>
      <c r="AW38" s="133">
        <v>6840</v>
      </c>
      <c r="AX38" s="132">
        <v>0</v>
      </c>
      <c r="AY38" s="132">
        <v>284</v>
      </c>
      <c r="AZ38" s="133">
        <v>67920</v>
      </c>
      <c r="BA38" s="132">
        <v>0</v>
      </c>
      <c r="BB38" s="132">
        <v>2</v>
      </c>
      <c r="BC38" s="132">
        <v>720</v>
      </c>
      <c r="BD38" s="132">
        <v>0</v>
      </c>
      <c r="BE38" s="132">
        <v>0</v>
      </c>
      <c r="BF38" s="132">
        <v>0</v>
      </c>
      <c r="BG38" s="132">
        <v>0</v>
      </c>
      <c r="BH38" s="132">
        <v>0</v>
      </c>
      <c r="BI38" s="132">
        <v>0</v>
      </c>
      <c r="BJ38" s="132">
        <v>0</v>
      </c>
      <c r="BK38" s="132">
        <v>0</v>
      </c>
      <c r="BL38" s="132">
        <v>0</v>
      </c>
      <c r="BM38" s="132">
        <v>0</v>
      </c>
      <c r="BN38" s="132">
        <v>0</v>
      </c>
      <c r="BO38" s="132">
        <v>0</v>
      </c>
      <c r="BP38" s="132">
        <v>0</v>
      </c>
      <c r="BQ38" s="132">
        <v>0</v>
      </c>
      <c r="BR38" s="134">
        <v>85675.4</v>
      </c>
      <c r="BS38" s="135">
        <v>724086</v>
      </c>
      <c r="BT38" s="84">
        <f t="shared" si="0"/>
        <v>0</v>
      </c>
      <c r="BU38" s="84">
        <f t="shared" si="1"/>
        <v>217430</v>
      </c>
      <c r="BV38" s="84">
        <f t="shared" si="2"/>
        <v>100100</v>
      </c>
      <c r="BW38" s="84">
        <f t="shared" si="3"/>
        <v>124400</v>
      </c>
      <c r="BX38" s="84">
        <f t="shared" si="4"/>
        <v>68640</v>
      </c>
      <c r="BY38" s="84">
        <f t="shared" si="5"/>
        <v>0</v>
      </c>
      <c r="BZ38" s="84">
        <f t="shared" si="6"/>
        <v>213516</v>
      </c>
      <c r="CA38" s="84">
        <f t="shared" si="7"/>
        <v>724086</v>
      </c>
      <c r="CB38" s="84">
        <f t="shared" si="8"/>
        <v>85675</v>
      </c>
      <c r="CC38" s="84">
        <f t="shared" si="9"/>
        <v>638411</v>
      </c>
      <c r="CD38" s="85">
        <f t="shared" si="10"/>
        <v>383047</v>
      </c>
      <c r="CF38" s="6" t="s">
        <v>405</v>
      </c>
      <c r="CG38" s="6" t="str">
        <f t="shared" si="11"/>
        <v>2026-01</v>
      </c>
      <c r="CH38" s="5" t="str">
        <f>_xlfn.XLOOKUP('컨텐츠별 매출 통계'!A38,KEY!$C$3:$C$1000,KEY!$B$3:$B$1000)</f>
        <v>궤짝</v>
      </c>
      <c r="CI38" s="5">
        <f t="shared" si="12"/>
        <v>383047</v>
      </c>
      <c r="CJ38" s="5">
        <v>0</v>
      </c>
      <c r="CK38" s="5">
        <f t="shared" si="13"/>
        <v>383047</v>
      </c>
      <c r="CL38" s="5"/>
      <c r="CM38" s="5"/>
      <c r="CN38" s="5">
        <f t="shared" si="14"/>
        <v>383047</v>
      </c>
      <c r="CO38" s="5">
        <f t="shared" si="15"/>
        <v>0</v>
      </c>
      <c r="CP38" s="5">
        <f t="shared" si="16"/>
        <v>383047</v>
      </c>
      <c r="CR38" s="45" t="str">
        <f t="shared" si="17"/>
        <v>2026-01월 국내유상이용권 브랜드정산_웹툰&lt;궤짝&gt;</v>
      </c>
      <c r="CS38" s="45" t="str">
        <f>_xlfn.XLOOKUP(CH38,KEY!$B$3:$B$1000,KEY!$E$3:$E$1000)</f>
        <v>전략기획팀</v>
      </c>
      <c r="CT38" s="45" t="str">
        <f>_xlfn.XLOOKUP(CH38,KEY!$B$3:$B$1000,KEY!$F$3:$F$1000)</f>
        <v>궤짝</v>
      </c>
      <c r="CU38" s="2" t="s">
        <v>41</v>
      </c>
      <c r="CV38" s="33">
        <f t="shared" si="18"/>
        <v>383047</v>
      </c>
      <c r="CW38" s="46" t="str">
        <f>_xlfn.XLOOKUP(CS38,KEY!E:E,KEY!G:G)</f>
        <v>B1200</v>
      </c>
      <c r="CX38" s="46" t="str">
        <f>_xlfn.XLOOKUP(CT38,KEY!F:F,KEY!H:H)</f>
        <v>PN016</v>
      </c>
    </row>
    <row r="39" spans="1:102">
      <c r="A39" s="136" t="s">
        <v>141</v>
      </c>
      <c r="B39" s="130">
        <v>553515</v>
      </c>
      <c r="C39" s="131"/>
      <c r="D39" s="130" t="s">
        <v>385</v>
      </c>
      <c r="E39" s="130" t="s">
        <v>193</v>
      </c>
      <c r="F39" s="130" t="s">
        <v>165</v>
      </c>
      <c r="G39" s="132" t="s">
        <v>166</v>
      </c>
      <c r="H39" s="132" t="s">
        <v>374</v>
      </c>
      <c r="I39" s="132">
        <v>0</v>
      </c>
      <c r="J39" s="133">
        <v>3645</v>
      </c>
      <c r="K39" s="132">
        <v>0</v>
      </c>
      <c r="L39" s="132">
        <v>0</v>
      </c>
      <c r="M39" s="132">
        <v>0</v>
      </c>
      <c r="N39" s="132">
        <v>0</v>
      </c>
      <c r="O39" s="132">
        <v>0</v>
      </c>
      <c r="P39" s="132">
        <v>0</v>
      </c>
      <c r="Q39" s="132">
        <v>0</v>
      </c>
      <c r="R39" s="132">
        <v>0</v>
      </c>
      <c r="S39" s="132">
        <v>0</v>
      </c>
      <c r="T39" s="132">
        <v>0</v>
      </c>
      <c r="U39" s="132">
        <v>0</v>
      </c>
      <c r="V39" s="132">
        <v>0</v>
      </c>
      <c r="W39" s="132">
        <v>0</v>
      </c>
      <c r="X39" s="132">
        <v>0</v>
      </c>
      <c r="Y39" s="132">
        <v>0</v>
      </c>
      <c r="Z39" s="132">
        <v>0</v>
      </c>
      <c r="AA39" s="132">
        <v>541</v>
      </c>
      <c r="AB39" s="133">
        <v>77900</v>
      </c>
      <c r="AC39" s="133">
        <v>75145</v>
      </c>
      <c r="AD39" s="132">
        <v>8</v>
      </c>
      <c r="AE39" s="132">
        <v>0</v>
      </c>
      <c r="AF39" s="133">
        <v>23200</v>
      </c>
      <c r="AG39" s="132">
        <v>497</v>
      </c>
      <c r="AH39" s="133">
        <v>177768</v>
      </c>
      <c r="AI39" s="133">
        <v>4600</v>
      </c>
      <c r="AJ39" s="132">
        <v>0</v>
      </c>
      <c r="AK39" s="132">
        <v>0</v>
      </c>
      <c r="AL39" s="132">
        <v>0</v>
      </c>
      <c r="AM39" s="132">
        <v>39</v>
      </c>
      <c r="AN39" s="133">
        <v>10800</v>
      </c>
      <c r="AO39" s="132">
        <v>900</v>
      </c>
      <c r="AP39" s="132">
        <v>0</v>
      </c>
      <c r="AQ39" s="132">
        <v>0</v>
      </c>
      <c r="AR39" s="132">
        <v>0</v>
      </c>
      <c r="AS39" s="132">
        <v>474</v>
      </c>
      <c r="AT39" s="133">
        <v>165166</v>
      </c>
      <c r="AU39" s="132">
        <v>300</v>
      </c>
      <c r="AV39" s="132">
        <v>0</v>
      </c>
      <c r="AW39" s="132">
        <v>0</v>
      </c>
      <c r="AX39" s="132">
        <v>0</v>
      </c>
      <c r="AY39" s="132">
        <v>410</v>
      </c>
      <c r="AZ39" s="133">
        <v>145920</v>
      </c>
      <c r="BA39" s="132">
        <v>300</v>
      </c>
      <c r="BB39" s="132">
        <v>0</v>
      </c>
      <c r="BC39" s="132">
        <v>0</v>
      </c>
      <c r="BD39" s="132">
        <v>0</v>
      </c>
      <c r="BE39" s="132">
        <v>0</v>
      </c>
      <c r="BF39" s="132">
        <v>0</v>
      </c>
      <c r="BG39" s="132">
        <v>0</v>
      </c>
      <c r="BH39" s="132">
        <v>0</v>
      </c>
      <c r="BI39" s="132">
        <v>0</v>
      </c>
      <c r="BJ39" s="132">
        <v>0</v>
      </c>
      <c r="BK39" s="132">
        <v>1</v>
      </c>
      <c r="BL39" s="132">
        <v>300</v>
      </c>
      <c r="BM39" s="132">
        <v>0</v>
      </c>
      <c r="BN39" s="132">
        <v>0</v>
      </c>
      <c r="BO39" s="132">
        <v>0</v>
      </c>
      <c r="BP39" s="132">
        <v>0</v>
      </c>
      <c r="BQ39" s="132">
        <v>0</v>
      </c>
      <c r="BR39" s="134">
        <v>85685.8</v>
      </c>
      <c r="BS39" s="135">
        <v>682299</v>
      </c>
      <c r="BT39" s="84">
        <f t="shared" si="0"/>
        <v>0</v>
      </c>
      <c r="BU39" s="84">
        <f t="shared" si="1"/>
        <v>104445</v>
      </c>
      <c r="BV39" s="84">
        <f t="shared" si="2"/>
        <v>88700</v>
      </c>
      <c r="BW39" s="84">
        <f t="shared" si="3"/>
        <v>165166</v>
      </c>
      <c r="BX39" s="84">
        <f t="shared" si="4"/>
        <v>145920</v>
      </c>
      <c r="BY39" s="84">
        <f t="shared" si="5"/>
        <v>300</v>
      </c>
      <c r="BZ39" s="84">
        <f t="shared" si="6"/>
        <v>177768</v>
      </c>
      <c r="CA39" s="84">
        <f t="shared" si="7"/>
        <v>682299</v>
      </c>
      <c r="CB39" s="84">
        <f t="shared" si="8"/>
        <v>85686</v>
      </c>
      <c r="CC39" s="84">
        <f t="shared" si="9"/>
        <v>596613</v>
      </c>
      <c r="CD39" s="85">
        <f t="shared" si="10"/>
        <v>357968</v>
      </c>
      <c r="CF39" s="6" t="s">
        <v>405</v>
      </c>
      <c r="CG39" s="6" t="str">
        <f t="shared" si="11"/>
        <v>2026-01</v>
      </c>
      <c r="CH39" s="5" t="str">
        <f>_xlfn.XLOOKUP('컨텐츠별 매출 통계'!A39,KEY!$C$3:$C$1000,KEY!$B$3:$B$1000)</f>
        <v>룸비니</v>
      </c>
      <c r="CI39" s="5">
        <f t="shared" si="12"/>
        <v>357968</v>
      </c>
      <c r="CJ39" s="5">
        <v>0</v>
      </c>
      <c r="CK39" s="5">
        <f t="shared" si="13"/>
        <v>357968</v>
      </c>
      <c r="CL39" s="5"/>
      <c r="CM39" s="5"/>
      <c r="CN39" s="5">
        <f t="shared" si="14"/>
        <v>357968</v>
      </c>
      <c r="CO39" s="5">
        <f t="shared" si="15"/>
        <v>0</v>
      </c>
      <c r="CP39" s="5">
        <f t="shared" si="16"/>
        <v>357968</v>
      </c>
      <c r="CR39" s="45" t="str">
        <f t="shared" si="17"/>
        <v>2026-01월 국내유상이용권 브랜드정산_웹툰&lt;룸비니&gt;</v>
      </c>
      <c r="CS39" s="45" t="str">
        <f>_xlfn.XLOOKUP(CH39,KEY!$B$3:$B$1000,KEY!$E$3:$E$1000)</f>
        <v>팀 MAJOR_메이저</v>
      </c>
      <c r="CT39" s="45" t="str">
        <f>_xlfn.XLOOKUP(CH39,KEY!$B$3:$B$1000,KEY!$F$3:$F$1000)</f>
        <v>룸비니</v>
      </c>
      <c r="CU39" s="2" t="s">
        <v>41</v>
      </c>
      <c r="CV39" s="33">
        <f t="shared" si="18"/>
        <v>357968</v>
      </c>
      <c r="CW39" s="46" t="str">
        <f>_xlfn.XLOOKUP(CS39,KEY!E:E,KEY!G:G)</f>
        <v>W1700</v>
      </c>
      <c r="CX39" s="46" t="str">
        <f>_xlfn.XLOOKUP(CT39,KEY!F:F,KEY!H:H)</f>
        <v>PN030</v>
      </c>
    </row>
    <row r="40" spans="1:102">
      <c r="A40" s="136" t="s">
        <v>163</v>
      </c>
      <c r="B40" s="130">
        <v>609850</v>
      </c>
      <c r="C40" s="131"/>
      <c r="D40" s="130" t="s">
        <v>385</v>
      </c>
      <c r="E40" s="130" t="s">
        <v>243</v>
      </c>
      <c r="F40" s="130" t="s">
        <v>165</v>
      </c>
      <c r="G40" s="132" t="s">
        <v>166</v>
      </c>
      <c r="H40" s="132" t="s">
        <v>394</v>
      </c>
      <c r="I40" s="132">
        <v>0</v>
      </c>
      <c r="J40" s="132">
        <v>0</v>
      </c>
      <c r="K40" s="132">
        <v>0</v>
      </c>
      <c r="L40" s="132">
        <v>0</v>
      </c>
      <c r="M40" s="132">
        <v>0</v>
      </c>
      <c r="N40" s="132">
        <v>0</v>
      </c>
      <c r="O40" s="132">
        <v>0</v>
      </c>
      <c r="P40" s="132">
        <v>0</v>
      </c>
      <c r="Q40" s="132">
        <v>0</v>
      </c>
      <c r="R40" s="132">
        <v>0</v>
      </c>
      <c r="S40" s="132">
        <v>0</v>
      </c>
      <c r="T40" s="132">
        <v>0</v>
      </c>
      <c r="U40" s="132">
        <v>0</v>
      </c>
      <c r="V40" s="132">
        <v>0</v>
      </c>
      <c r="W40" s="132">
        <v>0</v>
      </c>
      <c r="X40" s="132">
        <v>0</v>
      </c>
      <c r="Y40" s="132">
        <v>0</v>
      </c>
      <c r="Z40" s="132">
        <v>0</v>
      </c>
      <c r="AA40" s="132">
        <v>687</v>
      </c>
      <c r="AB40" s="133">
        <v>89600</v>
      </c>
      <c r="AC40" s="133">
        <v>103600</v>
      </c>
      <c r="AD40" s="132">
        <v>4</v>
      </c>
      <c r="AE40" s="132">
        <v>0</v>
      </c>
      <c r="AF40" s="133">
        <v>1600</v>
      </c>
      <c r="AG40" s="132">
        <v>342</v>
      </c>
      <c r="AH40" s="133">
        <v>104019</v>
      </c>
      <c r="AI40" s="133">
        <v>15400</v>
      </c>
      <c r="AJ40" s="132">
        <v>2</v>
      </c>
      <c r="AK40" s="132">
        <v>960</v>
      </c>
      <c r="AL40" s="132">
        <v>0</v>
      </c>
      <c r="AM40" s="132">
        <v>118</v>
      </c>
      <c r="AN40" s="133">
        <v>34500</v>
      </c>
      <c r="AO40" s="132">
        <v>300</v>
      </c>
      <c r="AP40" s="132">
        <v>1</v>
      </c>
      <c r="AQ40" s="132">
        <v>400</v>
      </c>
      <c r="AR40" s="132">
        <v>0</v>
      </c>
      <c r="AS40" s="132">
        <v>321</v>
      </c>
      <c r="AT40" s="133">
        <v>113438</v>
      </c>
      <c r="AU40" s="132">
        <v>0</v>
      </c>
      <c r="AV40" s="132">
        <v>3</v>
      </c>
      <c r="AW40" s="133">
        <v>1440</v>
      </c>
      <c r="AX40" s="132">
        <v>0</v>
      </c>
      <c r="AY40" s="132">
        <v>524</v>
      </c>
      <c r="AZ40" s="133">
        <v>185880</v>
      </c>
      <c r="BA40" s="132">
        <v>0</v>
      </c>
      <c r="BB40" s="132">
        <v>1</v>
      </c>
      <c r="BC40" s="132">
        <v>480</v>
      </c>
      <c r="BD40" s="132">
        <v>0</v>
      </c>
      <c r="BE40" s="132">
        <v>5</v>
      </c>
      <c r="BF40" s="133">
        <v>1320</v>
      </c>
      <c r="BG40" s="132">
        <v>0</v>
      </c>
      <c r="BH40" s="132">
        <v>0</v>
      </c>
      <c r="BI40" s="132">
        <v>0</v>
      </c>
      <c r="BJ40" s="132">
        <v>0</v>
      </c>
      <c r="BK40" s="132">
        <v>5</v>
      </c>
      <c r="BL40" s="133">
        <v>1300</v>
      </c>
      <c r="BM40" s="132">
        <v>0</v>
      </c>
      <c r="BN40" s="132">
        <v>0</v>
      </c>
      <c r="BO40" s="132">
        <v>0</v>
      </c>
      <c r="BP40" s="132">
        <v>0</v>
      </c>
      <c r="BQ40" s="132">
        <v>0</v>
      </c>
      <c r="BR40" s="134">
        <v>63789.5</v>
      </c>
      <c r="BS40" s="135">
        <v>654237</v>
      </c>
      <c r="BT40" s="84">
        <f t="shared" si="0"/>
        <v>1320</v>
      </c>
      <c r="BU40" s="84">
        <f t="shared" si="1"/>
        <v>120900</v>
      </c>
      <c r="BV40" s="84">
        <f t="shared" si="2"/>
        <v>124500</v>
      </c>
      <c r="BW40" s="84">
        <f t="shared" si="3"/>
        <v>114878</v>
      </c>
      <c r="BX40" s="84">
        <f t="shared" si="4"/>
        <v>186360</v>
      </c>
      <c r="BY40" s="84">
        <f t="shared" si="5"/>
        <v>1300</v>
      </c>
      <c r="BZ40" s="84">
        <f t="shared" si="6"/>
        <v>104979</v>
      </c>
      <c r="CA40" s="84">
        <f t="shared" si="7"/>
        <v>654237</v>
      </c>
      <c r="CB40" s="84">
        <f t="shared" si="8"/>
        <v>63790</v>
      </c>
      <c r="CC40" s="84">
        <f t="shared" si="9"/>
        <v>590447</v>
      </c>
      <c r="CD40" s="85">
        <f t="shared" si="10"/>
        <v>354268</v>
      </c>
      <c r="CF40" s="6" t="s">
        <v>405</v>
      </c>
      <c r="CG40" s="6" t="str">
        <f t="shared" si="11"/>
        <v>2026-01</v>
      </c>
      <c r="CH40" s="5" t="str">
        <f>_xlfn.XLOOKUP('컨텐츠별 매출 통계'!A40,KEY!$C$3:$C$1000,KEY!$B$3:$B$1000)</f>
        <v>냉동무사</v>
      </c>
      <c r="CI40" s="5">
        <f t="shared" si="12"/>
        <v>354268</v>
      </c>
      <c r="CJ40" s="5">
        <v>0</v>
      </c>
      <c r="CK40" s="5">
        <f t="shared" si="13"/>
        <v>354268</v>
      </c>
      <c r="CL40" s="5"/>
      <c r="CM40" s="5"/>
      <c r="CN40" s="5">
        <f t="shared" si="14"/>
        <v>354268</v>
      </c>
      <c r="CO40" s="5">
        <f t="shared" si="15"/>
        <v>0</v>
      </c>
      <c r="CP40" s="5">
        <f t="shared" si="16"/>
        <v>354268</v>
      </c>
      <c r="CR40" s="45" t="str">
        <f t="shared" si="17"/>
        <v>2026-01월 국내유상이용권 브랜드정산_웹툰&lt;냉동무사&gt;</v>
      </c>
      <c r="CS40" s="45" t="str">
        <f>_xlfn.XLOOKUP(CH40,KEY!$B$3:$B$1000,KEY!$E$3:$E$1000)</f>
        <v>팀 유호빈</v>
      </c>
      <c r="CT40" s="45" t="str">
        <f>_xlfn.XLOOKUP(CH40,KEY!$B$3:$B$1000,KEY!$F$3:$F$1000)</f>
        <v>냉동무사</v>
      </c>
      <c r="CU40" s="2" t="s">
        <v>41</v>
      </c>
      <c r="CV40" s="33">
        <f t="shared" si="18"/>
        <v>354268</v>
      </c>
      <c r="CW40" s="46" t="str">
        <f>_xlfn.XLOOKUP(CS40,KEY!E:E,KEY!G:G)</f>
        <v>W1200</v>
      </c>
      <c r="CX40" s="46" t="str">
        <f>_xlfn.XLOOKUP(CT40,KEY!F:F,KEY!H:H)</f>
        <v>PN086</v>
      </c>
    </row>
    <row r="41" spans="1:102">
      <c r="A41" s="136" t="s">
        <v>106</v>
      </c>
      <c r="B41" s="130">
        <v>534844</v>
      </c>
      <c r="C41" s="131"/>
      <c r="D41" s="130" t="s">
        <v>385</v>
      </c>
      <c r="E41" s="130" t="s">
        <v>182</v>
      </c>
      <c r="F41" s="130" t="s">
        <v>165</v>
      </c>
      <c r="G41" s="132" t="s">
        <v>166</v>
      </c>
      <c r="H41" s="132" t="s">
        <v>319</v>
      </c>
      <c r="I41" s="132">
        <v>0</v>
      </c>
      <c r="J41" s="133">
        <v>15367</v>
      </c>
      <c r="K41" s="132">
        <v>0</v>
      </c>
      <c r="L41" s="132">
        <v>0</v>
      </c>
      <c r="M41" s="132">
        <v>0</v>
      </c>
      <c r="N41" s="132">
        <v>0</v>
      </c>
      <c r="O41" s="132">
        <v>0</v>
      </c>
      <c r="P41" s="132">
        <v>0</v>
      </c>
      <c r="Q41" s="132">
        <v>0</v>
      </c>
      <c r="R41" s="132">
        <v>0</v>
      </c>
      <c r="S41" s="132">
        <v>0</v>
      </c>
      <c r="T41" s="132">
        <v>0</v>
      </c>
      <c r="U41" s="132">
        <v>0</v>
      </c>
      <c r="V41" s="132">
        <v>0</v>
      </c>
      <c r="W41" s="132">
        <v>0</v>
      </c>
      <c r="X41" s="132">
        <v>0</v>
      </c>
      <c r="Y41" s="132">
        <v>0</v>
      </c>
      <c r="Z41" s="132">
        <v>0</v>
      </c>
      <c r="AA41" s="132">
        <v>836</v>
      </c>
      <c r="AB41" s="133">
        <v>68000</v>
      </c>
      <c r="AC41" s="133">
        <v>95350</v>
      </c>
      <c r="AD41" s="132">
        <v>2</v>
      </c>
      <c r="AE41" s="133">
        <v>1500</v>
      </c>
      <c r="AF41" s="132">
        <v>0</v>
      </c>
      <c r="AG41" s="132">
        <v>495</v>
      </c>
      <c r="AH41" s="133">
        <v>103750</v>
      </c>
      <c r="AI41" s="133">
        <v>12600</v>
      </c>
      <c r="AJ41" s="132">
        <v>0</v>
      </c>
      <c r="AK41" s="132">
        <v>0</v>
      </c>
      <c r="AL41" s="132">
        <v>0</v>
      </c>
      <c r="AM41" s="132">
        <v>43</v>
      </c>
      <c r="AN41" s="133">
        <v>8600</v>
      </c>
      <c r="AO41" s="132">
        <v>0</v>
      </c>
      <c r="AP41" s="132">
        <v>0</v>
      </c>
      <c r="AQ41" s="132">
        <v>0</v>
      </c>
      <c r="AR41" s="132">
        <v>0</v>
      </c>
      <c r="AS41" s="132">
        <v>369</v>
      </c>
      <c r="AT41" s="133">
        <v>87816</v>
      </c>
      <c r="AU41" s="132">
        <v>200</v>
      </c>
      <c r="AV41" s="132">
        <v>0</v>
      </c>
      <c r="AW41" s="132">
        <v>0</v>
      </c>
      <c r="AX41" s="132">
        <v>0</v>
      </c>
      <c r="AY41" s="132">
        <v>108</v>
      </c>
      <c r="AZ41" s="133">
        <v>25920</v>
      </c>
      <c r="BA41" s="132">
        <v>0</v>
      </c>
      <c r="BB41" s="132">
        <v>0</v>
      </c>
      <c r="BC41" s="132">
        <v>0</v>
      </c>
      <c r="BD41" s="132">
        <v>0</v>
      </c>
      <c r="BE41" s="132">
        <v>0</v>
      </c>
      <c r="BF41" s="132">
        <v>0</v>
      </c>
      <c r="BG41" s="132">
        <v>0</v>
      </c>
      <c r="BH41" s="132">
        <v>0</v>
      </c>
      <c r="BI41" s="132">
        <v>0</v>
      </c>
      <c r="BJ41" s="132">
        <v>0</v>
      </c>
      <c r="BK41" s="132">
        <v>33</v>
      </c>
      <c r="BL41" s="133">
        <v>6500</v>
      </c>
      <c r="BM41" s="132">
        <v>0</v>
      </c>
      <c r="BN41" s="132">
        <v>0</v>
      </c>
      <c r="BO41" s="132">
        <v>0</v>
      </c>
      <c r="BP41" s="132">
        <v>0</v>
      </c>
      <c r="BQ41" s="132">
        <v>0</v>
      </c>
      <c r="BR41" s="134">
        <v>45557.4</v>
      </c>
      <c r="BS41" s="135">
        <v>410236</v>
      </c>
      <c r="BT41" s="84">
        <f t="shared" si="0"/>
        <v>0</v>
      </c>
      <c r="BU41" s="84">
        <f t="shared" si="1"/>
        <v>108150</v>
      </c>
      <c r="BV41" s="84">
        <f t="shared" si="2"/>
        <v>78100</v>
      </c>
      <c r="BW41" s="84">
        <f t="shared" si="3"/>
        <v>87816</v>
      </c>
      <c r="BX41" s="84">
        <f t="shared" si="4"/>
        <v>25920</v>
      </c>
      <c r="BY41" s="84">
        <f t="shared" si="5"/>
        <v>6500</v>
      </c>
      <c r="BZ41" s="84">
        <f t="shared" si="6"/>
        <v>103750</v>
      </c>
      <c r="CA41" s="84">
        <f t="shared" si="7"/>
        <v>410236</v>
      </c>
      <c r="CB41" s="84">
        <f t="shared" si="8"/>
        <v>45557</v>
      </c>
      <c r="CC41" s="84">
        <f t="shared" si="9"/>
        <v>364679</v>
      </c>
      <c r="CD41" s="85">
        <f t="shared" si="10"/>
        <v>218807</v>
      </c>
      <c r="CF41" s="6" t="s">
        <v>405</v>
      </c>
      <c r="CG41" s="6" t="str">
        <f t="shared" si="11"/>
        <v>2026-01</v>
      </c>
      <c r="CH41" s="5" t="str">
        <f>_xlfn.XLOOKUP('컨텐츠별 매출 통계'!A41,KEY!$C$3:$C$1000,KEY!$B$3:$B$1000)</f>
        <v>욕망일기 Deep</v>
      </c>
      <c r="CI41" s="5">
        <f t="shared" si="12"/>
        <v>218807</v>
      </c>
      <c r="CJ41" s="5">
        <v>0</v>
      </c>
      <c r="CK41" s="5">
        <f t="shared" si="13"/>
        <v>218807</v>
      </c>
      <c r="CL41" s="5"/>
      <c r="CM41" s="5"/>
      <c r="CN41" s="5">
        <f t="shared" si="14"/>
        <v>218807</v>
      </c>
      <c r="CO41" s="5">
        <f t="shared" si="15"/>
        <v>0</v>
      </c>
      <c r="CP41" s="5">
        <f t="shared" si="16"/>
        <v>218807</v>
      </c>
      <c r="CR41" s="45" t="str">
        <f t="shared" si="17"/>
        <v>2026-01월 국내유상이용권 브랜드정산_웹툰&lt;욕망일기 Deep&gt;</v>
      </c>
      <c r="CS41" s="45" t="str">
        <f>_xlfn.XLOOKUP(CH41,KEY!$B$3:$B$1000,KEY!$E$3:$E$1000)</f>
        <v>팀 꿀빨</v>
      </c>
      <c r="CT41" s="45" t="str">
        <f>_xlfn.XLOOKUP(CH41,KEY!$B$3:$B$1000,KEY!$F$3:$F$1000)</f>
        <v>욕망일기 DEEP</v>
      </c>
      <c r="CU41" s="2" t="s">
        <v>41</v>
      </c>
      <c r="CV41" s="33">
        <f t="shared" si="18"/>
        <v>218807</v>
      </c>
      <c r="CW41" s="46" t="str">
        <f>_xlfn.XLOOKUP(CS41,KEY!E:E,KEY!G:G)</f>
        <v>W1300</v>
      </c>
      <c r="CX41" s="46" t="str">
        <f>_xlfn.XLOOKUP(CT41,KEY!F:F,KEY!H:H)</f>
        <v>PN046</v>
      </c>
    </row>
    <row r="42" spans="1:102">
      <c r="A42" s="136" t="s">
        <v>137</v>
      </c>
      <c r="B42" s="130">
        <v>547174</v>
      </c>
      <c r="C42" s="131"/>
      <c r="D42" s="130" t="s">
        <v>385</v>
      </c>
      <c r="E42" s="130" t="s">
        <v>191</v>
      </c>
      <c r="F42" s="130" t="s">
        <v>165</v>
      </c>
      <c r="G42" s="132" t="s">
        <v>166</v>
      </c>
      <c r="H42" s="132" t="s">
        <v>323</v>
      </c>
      <c r="I42" s="132">
        <v>0</v>
      </c>
      <c r="J42" s="133">
        <v>2765</v>
      </c>
      <c r="K42" s="132">
        <v>0</v>
      </c>
      <c r="L42" s="132">
        <v>0</v>
      </c>
      <c r="M42" s="132">
        <v>0</v>
      </c>
      <c r="N42" s="132">
        <v>0</v>
      </c>
      <c r="O42" s="132">
        <v>0</v>
      </c>
      <c r="P42" s="132">
        <v>0</v>
      </c>
      <c r="Q42" s="132">
        <v>0</v>
      </c>
      <c r="R42" s="132">
        <v>0</v>
      </c>
      <c r="S42" s="132">
        <v>0</v>
      </c>
      <c r="T42" s="132">
        <v>0</v>
      </c>
      <c r="U42" s="132">
        <v>0</v>
      </c>
      <c r="V42" s="132">
        <v>0</v>
      </c>
      <c r="W42" s="132">
        <v>0</v>
      </c>
      <c r="X42" s="132">
        <v>0</v>
      </c>
      <c r="Y42" s="132">
        <v>0</v>
      </c>
      <c r="Z42" s="132">
        <v>0</v>
      </c>
      <c r="AA42" s="132">
        <v>262</v>
      </c>
      <c r="AB42" s="133">
        <v>49600</v>
      </c>
      <c r="AC42" s="133">
        <v>25825</v>
      </c>
      <c r="AD42" s="132">
        <v>5</v>
      </c>
      <c r="AE42" s="132">
        <v>0</v>
      </c>
      <c r="AF42" s="133">
        <v>2000</v>
      </c>
      <c r="AG42" s="132">
        <v>193</v>
      </c>
      <c r="AH42" s="133">
        <v>47280</v>
      </c>
      <c r="AI42" s="133">
        <v>18100</v>
      </c>
      <c r="AJ42" s="132">
        <v>0</v>
      </c>
      <c r="AK42" s="132">
        <v>0</v>
      </c>
      <c r="AL42" s="132">
        <v>0</v>
      </c>
      <c r="AM42" s="132">
        <v>75</v>
      </c>
      <c r="AN42" s="133">
        <v>21900</v>
      </c>
      <c r="AO42" s="132">
        <v>600</v>
      </c>
      <c r="AP42" s="132">
        <v>0</v>
      </c>
      <c r="AQ42" s="132">
        <v>0</v>
      </c>
      <c r="AR42" s="132">
        <v>0</v>
      </c>
      <c r="AS42" s="132">
        <v>136</v>
      </c>
      <c r="AT42" s="133">
        <v>48720</v>
      </c>
      <c r="AU42" s="132">
        <v>0</v>
      </c>
      <c r="AV42" s="132">
        <v>0</v>
      </c>
      <c r="AW42" s="132">
        <v>0</v>
      </c>
      <c r="AX42" s="132">
        <v>0</v>
      </c>
      <c r="AY42" s="132">
        <v>323</v>
      </c>
      <c r="AZ42" s="133">
        <v>116040</v>
      </c>
      <c r="BA42" s="132">
        <v>0</v>
      </c>
      <c r="BB42" s="132">
        <v>0</v>
      </c>
      <c r="BC42" s="132">
        <v>0</v>
      </c>
      <c r="BD42" s="132">
        <v>0</v>
      </c>
      <c r="BE42" s="132">
        <v>0</v>
      </c>
      <c r="BF42" s="132">
        <v>0</v>
      </c>
      <c r="BG42" s="132">
        <v>0</v>
      </c>
      <c r="BH42" s="132">
        <v>0</v>
      </c>
      <c r="BI42" s="132">
        <v>0</v>
      </c>
      <c r="BJ42" s="132">
        <v>0</v>
      </c>
      <c r="BK42" s="132">
        <v>0</v>
      </c>
      <c r="BL42" s="132">
        <v>0</v>
      </c>
      <c r="BM42" s="132">
        <v>0</v>
      </c>
      <c r="BN42" s="132">
        <v>0</v>
      </c>
      <c r="BO42" s="132">
        <v>0</v>
      </c>
      <c r="BP42" s="132">
        <v>0</v>
      </c>
      <c r="BQ42" s="132">
        <v>0</v>
      </c>
      <c r="BR42" s="134">
        <v>31644.6</v>
      </c>
      <c r="BS42" s="135">
        <v>330065</v>
      </c>
      <c r="BT42" s="84">
        <f t="shared" si="0"/>
        <v>0</v>
      </c>
      <c r="BU42" s="84">
        <f t="shared" si="1"/>
        <v>46525</v>
      </c>
      <c r="BV42" s="84">
        <f t="shared" si="2"/>
        <v>71500</v>
      </c>
      <c r="BW42" s="84">
        <f t="shared" si="3"/>
        <v>48720</v>
      </c>
      <c r="BX42" s="84">
        <f t="shared" si="4"/>
        <v>116040</v>
      </c>
      <c r="BY42" s="84">
        <f t="shared" si="5"/>
        <v>0</v>
      </c>
      <c r="BZ42" s="84">
        <f t="shared" si="6"/>
        <v>47280</v>
      </c>
      <c r="CA42" s="84">
        <f t="shared" si="7"/>
        <v>330065</v>
      </c>
      <c r="CB42" s="84">
        <f t="shared" si="8"/>
        <v>31645</v>
      </c>
      <c r="CC42" s="84">
        <f t="shared" si="9"/>
        <v>298420</v>
      </c>
      <c r="CD42" s="85">
        <f t="shared" si="10"/>
        <v>179052</v>
      </c>
      <c r="CF42" s="6" t="s">
        <v>405</v>
      </c>
      <c r="CG42" s="6" t="str">
        <f t="shared" si="11"/>
        <v>2026-01</v>
      </c>
      <c r="CH42" s="5" t="str">
        <f>_xlfn.XLOOKUP('컨텐츠별 매출 통계'!A42,KEY!$C$3:$C$1000,KEY!$B$3:$B$1000)</f>
        <v>VS</v>
      </c>
      <c r="CI42" s="5">
        <f t="shared" si="12"/>
        <v>179052</v>
      </c>
      <c r="CJ42" s="5">
        <v>0</v>
      </c>
      <c r="CK42" s="5">
        <f t="shared" si="13"/>
        <v>179052</v>
      </c>
      <c r="CL42" s="5"/>
      <c r="CM42" s="5"/>
      <c r="CN42" s="5">
        <f t="shared" si="14"/>
        <v>179052</v>
      </c>
      <c r="CO42" s="5">
        <f t="shared" si="15"/>
        <v>0</v>
      </c>
      <c r="CP42" s="5">
        <f t="shared" si="16"/>
        <v>179052</v>
      </c>
      <c r="CR42" s="45" t="str">
        <f t="shared" si="17"/>
        <v>2026-01월 국내유상이용권 브랜드정산_웹툰&lt;VS&gt;</v>
      </c>
      <c r="CS42" s="45" t="str">
        <f>_xlfn.XLOOKUP(CH42,KEY!$B$3:$B$1000,KEY!$E$3:$E$1000)</f>
        <v>팀 MAJOR_메이저</v>
      </c>
      <c r="CT42" s="45" t="str">
        <f>_xlfn.XLOOKUP(CH42,KEY!$B$3:$B$1000,KEY!$F$3:$F$1000)</f>
        <v>VS</v>
      </c>
      <c r="CU42" s="2" t="s">
        <v>41</v>
      </c>
      <c r="CV42" s="33">
        <f t="shared" si="18"/>
        <v>179052</v>
      </c>
      <c r="CW42" s="46" t="str">
        <f>_xlfn.XLOOKUP(CS42,KEY!E:E,KEY!G:G)</f>
        <v>W1700</v>
      </c>
      <c r="CX42" s="46" t="str">
        <f>_xlfn.XLOOKUP(CT42,KEY!F:F,KEY!H:H)</f>
        <v>PN037</v>
      </c>
    </row>
    <row r="43" spans="1:102">
      <c r="A43" s="136" t="s">
        <v>147</v>
      </c>
      <c r="B43" s="130">
        <v>577238</v>
      </c>
      <c r="C43" s="131"/>
      <c r="D43" s="130" t="s">
        <v>385</v>
      </c>
      <c r="E43" s="130" t="s">
        <v>169</v>
      </c>
      <c r="F43" s="130" t="s">
        <v>169</v>
      </c>
      <c r="G43" s="132" t="s">
        <v>166</v>
      </c>
      <c r="H43" s="132" t="s">
        <v>167</v>
      </c>
      <c r="I43" s="132">
        <v>0</v>
      </c>
      <c r="J43" s="133">
        <v>3686</v>
      </c>
      <c r="K43" s="132">
        <v>0</v>
      </c>
      <c r="L43" s="132">
        <v>0</v>
      </c>
      <c r="M43" s="132">
        <v>0</v>
      </c>
      <c r="N43" s="132">
        <v>0</v>
      </c>
      <c r="O43" s="132">
        <v>0</v>
      </c>
      <c r="P43" s="132">
        <v>0</v>
      </c>
      <c r="Q43" s="132">
        <v>0</v>
      </c>
      <c r="R43" s="132">
        <v>0</v>
      </c>
      <c r="S43" s="132">
        <v>0</v>
      </c>
      <c r="T43" s="132">
        <v>0</v>
      </c>
      <c r="U43" s="132">
        <v>0</v>
      </c>
      <c r="V43" s="132">
        <v>0</v>
      </c>
      <c r="W43" s="132">
        <v>0</v>
      </c>
      <c r="X43" s="132">
        <v>0</v>
      </c>
      <c r="Y43" s="132">
        <v>0</v>
      </c>
      <c r="Z43" s="132">
        <v>0</v>
      </c>
      <c r="AA43" s="132">
        <v>207</v>
      </c>
      <c r="AB43" s="133">
        <v>23700</v>
      </c>
      <c r="AC43" s="133">
        <v>37205</v>
      </c>
      <c r="AD43" s="132">
        <v>5</v>
      </c>
      <c r="AE43" s="133">
        <v>3500</v>
      </c>
      <c r="AF43" s="132">
        <v>0</v>
      </c>
      <c r="AG43" s="132">
        <v>152</v>
      </c>
      <c r="AH43" s="133">
        <v>42156</v>
      </c>
      <c r="AI43" s="133">
        <v>10400</v>
      </c>
      <c r="AJ43" s="132">
        <v>0</v>
      </c>
      <c r="AK43" s="132">
        <v>0</v>
      </c>
      <c r="AL43" s="132">
        <v>0</v>
      </c>
      <c r="AM43" s="132">
        <v>141</v>
      </c>
      <c r="AN43" s="133">
        <v>41900</v>
      </c>
      <c r="AO43" s="132">
        <v>200</v>
      </c>
      <c r="AP43" s="132">
        <v>1</v>
      </c>
      <c r="AQ43" s="132">
        <v>500</v>
      </c>
      <c r="AR43" s="132">
        <v>0</v>
      </c>
      <c r="AS43" s="132">
        <v>55</v>
      </c>
      <c r="AT43" s="133">
        <v>19476</v>
      </c>
      <c r="AU43" s="132">
        <v>0</v>
      </c>
      <c r="AV43" s="132">
        <v>0</v>
      </c>
      <c r="AW43" s="132">
        <v>0</v>
      </c>
      <c r="AX43" s="132">
        <v>0</v>
      </c>
      <c r="AY43" s="132">
        <v>163</v>
      </c>
      <c r="AZ43" s="133">
        <v>58560</v>
      </c>
      <c r="BA43" s="132">
        <v>0</v>
      </c>
      <c r="BB43" s="132">
        <v>0</v>
      </c>
      <c r="BC43" s="132">
        <v>0</v>
      </c>
      <c r="BD43" s="132">
        <v>0</v>
      </c>
      <c r="BE43" s="132">
        <v>1</v>
      </c>
      <c r="BF43" s="132">
        <v>360</v>
      </c>
      <c r="BG43" s="132">
        <v>0</v>
      </c>
      <c r="BH43" s="132">
        <v>1</v>
      </c>
      <c r="BI43" s="132">
        <v>600</v>
      </c>
      <c r="BJ43" s="132">
        <v>0</v>
      </c>
      <c r="BK43" s="132">
        <v>0</v>
      </c>
      <c r="BL43" s="132">
        <v>0</v>
      </c>
      <c r="BM43" s="132">
        <v>0</v>
      </c>
      <c r="BN43" s="132">
        <v>0</v>
      </c>
      <c r="BO43" s="132">
        <v>0</v>
      </c>
      <c r="BP43" s="132">
        <v>0</v>
      </c>
      <c r="BQ43" s="132">
        <v>0</v>
      </c>
      <c r="BR43" s="134">
        <v>22029.599999999999</v>
      </c>
      <c r="BS43" s="135">
        <v>238557</v>
      </c>
      <c r="BT43" s="84">
        <f t="shared" si="0"/>
        <v>960</v>
      </c>
      <c r="BU43" s="84">
        <f t="shared" si="1"/>
        <v>47805</v>
      </c>
      <c r="BV43" s="84">
        <f t="shared" si="2"/>
        <v>69600</v>
      </c>
      <c r="BW43" s="84">
        <f t="shared" si="3"/>
        <v>19476</v>
      </c>
      <c r="BX43" s="84">
        <f t="shared" si="4"/>
        <v>58560</v>
      </c>
      <c r="BY43" s="84">
        <f t="shared" si="5"/>
        <v>0</v>
      </c>
      <c r="BZ43" s="84">
        <f t="shared" si="6"/>
        <v>42156</v>
      </c>
      <c r="CA43" s="84">
        <f t="shared" si="7"/>
        <v>238557</v>
      </c>
      <c r="CB43" s="84">
        <f t="shared" si="8"/>
        <v>22030</v>
      </c>
      <c r="CC43" s="84">
        <f t="shared" si="9"/>
        <v>216527</v>
      </c>
      <c r="CD43" s="85">
        <f t="shared" si="10"/>
        <v>129916</v>
      </c>
      <c r="CF43" s="6" t="s">
        <v>405</v>
      </c>
      <c r="CG43" s="6" t="str">
        <f t="shared" si="11"/>
        <v>2026-01</v>
      </c>
      <c r="CH43" s="5" t="str">
        <f>_xlfn.XLOOKUP('컨텐츠별 매출 통계'!A43,KEY!$C$3:$C$1000,KEY!$B$3:$B$1000)</f>
        <v>왕관을 찾아줘</v>
      </c>
      <c r="CI43" s="5">
        <f t="shared" si="12"/>
        <v>129916</v>
      </c>
      <c r="CJ43" s="5">
        <v>0</v>
      </c>
      <c r="CK43" s="5">
        <f t="shared" si="13"/>
        <v>129916</v>
      </c>
      <c r="CL43" s="5"/>
      <c r="CM43" s="5"/>
      <c r="CN43" s="5">
        <f t="shared" si="14"/>
        <v>129916</v>
      </c>
      <c r="CO43" s="5">
        <f t="shared" si="15"/>
        <v>0</v>
      </c>
      <c r="CP43" s="5">
        <f t="shared" si="16"/>
        <v>129916</v>
      </c>
      <c r="CR43" s="45" t="str">
        <f t="shared" si="17"/>
        <v>2026-01월 국내유상이용권 브랜드정산_웹툰&lt;왕관을 찾아줘&gt;</v>
      </c>
      <c r="CS43" s="45" t="str">
        <f>_xlfn.XLOOKUP(CH43,KEY!$B$3:$B$1000,KEY!$E$3:$E$1000)</f>
        <v>팀 MUTE_뮤트</v>
      </c>
      <c r="CT43" s="45" t="str">
        <f>_xlfn.XLOOKUP(CH43,KEY!$B$3:$B$1000,KEY!$F$3:$F$1000)</f>
        <v>왕관을 찾아줘</v>
      </c>
      <c r="CU43" s="2" t="s">
        <v>41</v>
      </c>
      <c r="CV43" s="33">
        <f t="shared" si="18"/>
        <v>129916</v>
      </c>
      <c r="CW43" s="46" t="str">
        <f>_xlfn.XLOOKUP(CS43,KEY!E:E,KEY!G:G)</f>
        <v>W1600</v>
      </c>
      <c r="CX43" s="46" t="str">
        <f>_xlfn.XLOOKUP(CT43,KEY!F:F,KEY!H:H)</f>
        <v>PN069</v>
      </c>
    </row>
    <row r="44" spans="1:102">
      <c r="A44" s="136" t="s">
        <v>119</v>
      </c>
      <c r="B44" s="130">
        <v>481008</v>
      </c>
      <c r="C44" s="131"/>
      <c r="D44" s="130" t="s">
        <v>385</v>
      </c>
      <c r="E44" s="130" t="s">
        <v>211</v>
      </c>
      <c r="F44" s="130" t="s">
        <v>212</v>
      </c>
      <c r="G44" s="132" t="s">
        <v>166</v>
      </c>
      <c r="H44" s="132" t="s">
        <v>213</v>
      </c>
      <c r="I44" s="132">
        <v>0</v>
      </c>
      <c r="J44" s="133">
        <v>2741</v>
      </c>
      <c r="K44" s="132">
        <v>0</v>
      </c>
      <c r="L44" s="132">
        <v>0</v>
      </c>
      <c r="M44" s="132">
        <v>0</v>
      </c>
      <c r="N44" s="132">
        <v>0</v>
      </c>
      <c r="O44" s="132">
        <v>0</v>
      </c>
      <c r="P44" s="132">
        <v>0</v>
      </c>
      <c r="Q44" s="132">
        <v>0</v>
      </c>
      <c r="R44" s="132">
        <v>0</v>
      </c>
      <c r="S44" s="132">
        <v>0</v>
      </c>
      <c r="T44" s="132">
        <v>0</v>
      </c>
      <c r="U44" s="132">
        <v>0</v>
      </c>
      <c r="V44" s="132">
        <v>0</v>
      </c>
      <c r="W44" s="132">
        <v>0</v>
      </c>
      <c r="X44" s="132">
        <v>0</v>
      </c>
      <c r="Y44" s="132">
        <v>0</v>
      </c>
      <c r="Z44" s="132">
        <v>0</v>
      </c>
      <c r="AA44" s="132">
        <v>93</v>
      </c>
      <c r="AB44" s="133">
        <v>10500</v>
      </c>
      <c r="AC44" s="133">
        <v>16680</v>
      </c>
      <c r="AD44" s="132">
        <v>0</v>
      </c>
      <c r="AE44" s="132">
        <v>0</v>
      </c>
      <c r="AF44" s="132">
        <v>0</v>
      </c>
      <c r="AG44" s="132">
        <v>89</v>
      </c>
      <c r="AH44" s="133">
        <v>32040</v>
      </c>
      <c r="AI44" s="132">
        <v>0</v>
      </c>
      <c r="AJ44" s="132">
        <v>0</v>
      </c>
      <c r="AK44" s="132">
        <v>0</v>
      </c>
      <c r="AL44" s="132">
        <v>0</v>
      </c>
      <c r="AM44" s="132">
        <v>48</v>
      </c>
      <c r="AN44" s="133">
        <v>14200</v>
      </c>
      <c r="AO44" s="132">
        <v>200</v>
      </c>
      <c r="AP44" s="132">
        <v>0</v>
      </c>
      <c r="AQ44" s="132">
        <v>0</v>
      </c>
      <c r="AR44" s="132">
        <v>0</v>
      </c>
      <c r="AS44" s="132">
        <v>219</v>
      </c>
      <c r="AT44" s="133">
        <v>78879</v>
      </c>
      <c r="AU44" s="132">
        <v>0</v>
      </c>
      <c r="AV44" s="132">
        <v>0</v>
      </c>
      <c r="AW44" s="132">
        <v>0</v>
      </c>
      <c r="AX44" s="132">
        <v>0</v>
      </c>
      <c r="AY44" s="132">
        <v>107</v>
      </c>
      <c r="AZ44" s="133">
        <v>38520</v>
      </c>
      <c r="BA44" s="132">
        <v>0</v>
      </c>
      <c r="BB44" s="132">
        <v>0</v>
      </c>
      <c r="BC44" s="132">
        <v>0</v>
      </c>
      <c r="BD44" s="132">
        <v>0</v>
      </c>
      <c r="BE44" s="132">
        <v>0</v>
      </c>
      <c r="BF44" s="132">
        <v>0</v>
      </c>
      <c r="BG44" s="132">
        <v>0</v>
      </c>
      <c r="BH44" s="132">
        <v>0</v>
      </c>
      <c r="BI44" s="132">
        <v>0</v>
      </c>
      <c r="BJ44" s="132">
        <v>0</v>
      </c>
      <c r="BK44" s="132">
        <v>0</v>
      </c>
      <c r="BL44" s="132">
        <v>0</v>
      </c>
      <c r="BM44" s="132">
        <v>0</v>
      </c>
      <c r="BN44" s="132">
        <v>0</v>
      </c>
      <c r="BO44" s="132">
        <v>0</v>
      </c>
      <c r="BP44" s="132">
        <v>0</v>
      </c>
      <c r="BQ44" s="132">
        <v>0</v>
      </c>
      <c r="BR44" s="134">
        <v>21707.7</v>
      </c>
      <c r="BS44" s="135">
        <v>191019</v>
      </c>
      <c r="BT44" s="84">
        <f t="shared" si="0"/>
        <v>0</v>
      </c>
      <c r="BU44" s="84">
        <f t="shared" si="1"/>
        <v>16880</v>
      </c>
      <c r="BV44" s="84">
        <f t="shared" si="2"/>
        <v>24700</v>
      </c>
      <c r="BW44" s="84">
        <f t="shared" si="3"/>
        <v>78879</v>
      </c>
      <c r="BX44" s="84">
        <f t="shared" si="4"/>
        <v>38520</v>
      </c>
      <c r="BY44" s="84">
        <f t="shared" si="5"/>
        <v>0</v>
      </c>
      <c r="BZ44" s="84">
        <f t="shared" si="6"/>
        <v>32040</v>
      </c>
      <c r="CA44" s="84">
        <f t="shared" si="7"/>
        <v>191019</v>
      </c>
      <c r="CB44" s="84">
        <f t="shared" si="8"/>
        <v>21708</v>
      </c>
      <c r="CC44" s="84">
        <f t="shared" si="9"/>
        <v>169311</v>
      </c>
      <c r="CD44" s="85">
        <f t="shared" si="10"/>
        <v>101587</v>
      </c>
      <c r="CF44" s="6" t="s">
        <v>405</v>
      </c>
      <c r="CG44" s="6" t="str">
        <f t="shared" si="11"/>
        <v>2026-01</v>
      </c>
      <c r="CH44" s="5" t="str">
        <f>_xlfn.XLOOKUP('컨텐츠별 매출 통계'!A44,KEY!$C$3:$C$1000,KEY!$B$3:$B$1000)</f>
        <v>간첩18세</v>
      </c>
      <c r="CI44" s="5">
        <f t="shared" si="12"/>
        <v>101587</v>
      </c>
      <c r="CJ44" s="5">
        <v>0</v>
      </c>
      <c r="CK44" s="5">
        <f t="shared" si="13"/>
        <v>101587</v>
      </c>
      <c r="CL44" s="5"/>
      <c r="CM44" s="5"/>
      <c r="CN44" s="5">
        <f t="shared" si="14"/>
        <v>101587</v>
      </c>
      <c r="CO44" s="5">
        <f t="shared" si="15"/>
        <v>0</v>
      </c>
      <c r="CP44" s="5">
        <f t="shared" si="16"/>
        <v>101587</v>
      </c>
      <c r="CR44" s="45" t="str">
        <f t="shared" si="17"/>
        <v>2026-01월 국내유상이용권 브랜드정산_웹툰&lt;간첩18세&gt;</v>
      </c>
      <c r="CS44" s="45" t="str">
        <f>_xlfn.XLOOKUP(CH44,KEY!$B$3:$B$1000,KEY!$E$3:$E$1000)</f>
        <v>팀 꿀빨</v>
      </c>
      <c r="CT44" s="45" t="str">
        <f>_xlfn.XLOOKUP(CH44,KEY!$B$3:$B$1000,KEY!$F$3:$F$1000)</f>
        <v>간첩18세</v>
      </c>
      <c r="CU44" s="2" t="s">
        <v>41</v>
      </c>
      <c r="CV44" s="33">
        <f t="shared" si="18"/>
        <v>101587</v>
      </c>
      <c r="CW44" s="46" t="str">
        <f>_xlfn.XLOOKUP(CS44,KEY!E:E,KEY!G:G)</f>
        <v>W1300</v>
      </c>
      <c r="CX44" s="46" t="str">
        <f>_xlfn.XLOOKUP(CT44,KEY!F:F,KEY!H:H)</f>
        <v>PN014</v>
      </c>
    </row>
    <row r="45" spans="1:102">
      <c r="A45" s="136" t="s">
        <v>145</v>
      </c>
      <c r="B45" s="130">
        <v>575418</v>
      </c>
      <c r="C45" s="131"/>
      <c r="D45" s="130" t="s">
        <v>385</v>
      </c>
      <c r="E45" s="130" t="s">
        <v>197</v>
      </c>
      <c r="F45" s="130" t="s">
        <v>197</v>
      </c>
      <c r="G45" s="132" t="s">
        <v>96</v>
      </c>
      <c r="H45" s="132" t="s">
        <v>198</v>
      </c>
      <c r="I45" s="132">
        <v>0</v>
      </c>
      <c r="J45" s="133">
        <v>4986</v>
      </c>
      <c r="K45" s="132">
        <v>0</v>
      </c>
      <c r="L45" s="132">
        <v>0</v>
      </c>
      <c r="M45" s="132">
        <v>0</v>
      </c>
      <c r="N45" s="132">
        <v>0</v>
      </c>
      <c r="O45" s="132">
        <v>0</v>
      </c>
      <c r="P45" s="132">
        <v>0</v>
      </c>
      <c r="Q45" s="132">
        <v>0</v>
      </c>
      <c r="R45" s="132">
        <v>0</v>
      </c>
      <c r="S45" s="132">
        <v>0</v>
      </c>
      <c r="T45" s="132">
        <v>0</v>
      </c>
      <c r="U45" s="132">
        <v>0</v>
      </c>
      <c r="V45" s="132">
        <v>0</v>
      </c>
      <c r="W45" s="132">
        <v>0</v>
      </c>
      <c r="X45" s="132">
        <v>0</v>
      </c>
      <c r="Y45" s="132">
        <v>0</v>
      </c>
      <c r="Z45" s="132">
        <v>0</v>
      </c>
      <c r="AA45" s="132">
        <v>92</v>
      </c>
      <c r="AB45" s="133">
        <v>5400</v>
      </c>
      <c r="AC45" s="133">
        <v>12575</v>
      </c>
      <c r="AD45" s="132">
        <v>0</v>
      </c>
      <c r="AE45" s="132">
        <v>0</v>
      </c>
      <c r="AF45" s="132">
        <v>0</v>
      </c>
      <c r="AG45" s="132">
        <v>307</v>
      </c>
      <c r="AH45" s="133">
        <v>71160</v>
      </c>
      <c r="AI45" s="133">
        <v>1900</v>
      </c>
      <c r="AJ45" s="132">
        <v>0</v>
      </c>
      <c r="AK45" s="132">
        <v>0</v>
      </c>
      <c r="AL45" s="132">
        <v>0</v>
      </c>
      <c r="AM45" s="132">
        <v>42</v>
      </c>
      <c r="AN45" s="133">
        <v>8400</v>
      </c>
      <c r="AO45" s="132">
        <v>0</v>
      </c>
      <c r="AP45" s="132">
        <v>0</v>
      </c>
      <c r="AQ45" s="132">
        <v>0</v>
      </c>
      <c r="AR45" s="132">
        <v>0</v>
      </c>
      <c r="AS45" s="132">
        <v>150</v>
      </c>
      <c r="AT45" s="133">
        <v>36000</v>
      </c>
      <c r="AU45" s="132">
        <v>0</v>
      </c>
      <c r="AV45" s="132">
        <v>0</v>
      </c>
      <c r="AW45" s="132">
        <v>0</v>
      </c>
      <c r="AX45" s="132">
        <v>0</v>
      </c>
      <c r="AY45" s="132">
        <v>2</v>
      </c>
      <c r="AZ45" s="132">
        <v>480</v>
      </c>
      <c r="BA45" s="132">
        <v>0</v>
      </c>
      <c r="BB45" s="132">
        <v>0</v>
      </c>
      <c r="BC45" s="132">
        <v>0</v>
      </c>
      <c r="BD45" s="132">
        <v>0</v>
      </c>
      <c r="BE45" s="132">
        <v>0</v>
      </c>
      <c r="BF45" s="132">
        <v>0</v>
      </c>
      <c r="BG45" s="132">
        <v>0</v>
      </c>
      <c r="BH45" s="132">
        <v>0</v>
      </c>
      <c r="BI45" s="132">
        <v>0</v>
      </c>
      <c r="BJ45" s="132">
        <v>0</v>
      </c>
      <c r="BK45" s="132">
        <v>0</v>
      </c>
      <c r="BL45" s="132">
        <v>0</v>
      </c>
      <c r="BM45" s="132">
        <v>0</v>
      </c>
      <c r="BN45" s="132">
        <v>0</v>
      </c>
      <c r="BO45" s="132">
        <v>0</v>
      </c>
      <c r="BP45" s="132">
        <v>0</v>
      </c>
      <c r="BQ45" s="132">
        <v>0</v>
      </c>
      <c r="BR45" s="134">
        <v>25405.200000000001</v>
      </c>
      <c r="BS45" s="135">
        <v>135915</v>
      </c>
      <c r="BT45" s="84">
        <f t="shared" si="0"/>
        <v>0</v>
      </c>
      <c r="BU45" s="84">
        <f t="shared" si="1"/>
        <v>14475</v>
      </c>
      <c r="BV45" s="84">
        <f t="shared" si="2"/>
        <v>13800</v>
      </c>
      <c r="BW45" s="84">
        <f t="shared" si="3"/>
        <v>36000</v>
      </c>
      <c r="BX45" s="84">
        <f t="shared" si="4"/>
        <v>480</v>
      </c>
      <c r="BY45" s="84">
        <f t="shared" si="5"/>
        <v>0</v>
      </c>
      <c r="BZ45" s="84">
        <f t="shared" si="6"/>
        <v>71160</v>
      </c>
      <c r="CA45" s="84">
        <f t="shared" si="7"/>
        <v>135915</v>
      </c>
      <c r="CB45" s="84">
        <f t="shared" si="8"/>
        <v>25405</v>
      </c>
      <c r="CC45" s="84">
        <f t="shared" si="9"/>
        <v>110510</v>
      </c>
      <c r="CD45" s="85">
        <f t="shared" si="10"/>
        <v>66306</v>
      </c>
      <c r="CF45" s="6" t="s">
        <v>405</v>
      </c>
      <c r="CG45" s="6" t="str">
        <f t="shared" si="11"/>
        <v>2026-01</v>
      </c>
      <c r="CH45" s="5" t="str">
        <f>_xlfn.XLOOKUP('컨텐츠별 매출 통계'!A45,KEY!$C$3:$C$1000,KEY!$B$3:$B$1000)</f>
        <v>러브 인 바디</v>
      </c>
      <c r="CI45" s="5">
        <f t="shared" si="12"/>
        <v>66306</v>
      </c>
      <c r="CJ45" s="5">
        <v>0</v>
      </c>
      <c r="CK45" s="5">
        <f t="shared" si="13"/>
        <v>66306</v>
      </c>
      <c r="CL45" s="5"/>
      <c r="CM45" s="5"/>
      <c r="CN45" s="5">
        <f t="shared" si="14"/>
        <v>66306</v>
      </c>
      <c r="CO45" s="5">
        <f t="shared" si="15"/>
        <v>0</v>
      </c>
      <c r="CP45" s="5">
        <f t="shared" si="16"/>
        <v>66306</v>
      </c>
      <c r="CR45" s="45" t="str">
        <f t="shared" si="17"/>
        <v>2026-01월 국내유상이용권 브랜드정산_웹툰&lt;러브 인 바디&gt;</v>
      </c>
      <c r="CS45" s="45" t="str">
        <f>_xlfn.XLOOKUP(CH45,KEY!$B$3:$B$1000,KEY!$E$3:$E$1000)</f>
        <v>전략기획팀</v>
      </c>
      <c r="CT45" s="45" t="str">
        <f>_xlfn.XLOOKUP(CH45,KEY!$B$3:$B$1000,KEY!$F$3:$F$1000)</f>
        <v>러브인바디(가제.다이어트 졸업반)</v>
      </c>
      <c r="CU45" s="2" t="s">
        <v>41</v>
      </c>
      <c r="CV45" s="33">
        <f t="shared" si="18"/>
        <v>66306</v>
      </c>
      <c r="CW45" s="46" t="str">
        <f>_xlfn.XLOOKUP(CS45,KEY!E:E,KEY!G:G)</f>
        <v>B1200</v>
      </c>
      <c r="CX45" s="46" t="str">
        <f>_xlfn.XLOOKUP(CT45,KEY!F:F,KEY!H:H)</f>
        <v>PN079</v>
      </c>
    </row>
    <row r="46" spans="1:102">
      <c r="A46" s="136" t="s">
        <v>105</v>
      </c>
      <c r="B46" s="130">
        <v>420618</v>
      </c>
      <c r="C46" s="131"/>
      <c r="D46" s="130" t="s">
        <v>385</v>
      </c>
      <c r="E46" s="130" t="s">
        <v>214</v>
      </c>
      <c r="F46" s="130" t="s">
        <v>214</v>
      </c>
      <c r="G46" s="132" t="s">
        <v>166</v>
      </c>
      <c r="H46" s="132" t="s">
        <v>215</v>
      </c>
      <c r="I46" s="132">
        <v>0</v>
      </c>
      <c r="J46" s="133">
        <v>5012</v>
      </c>
      <c r="K46" s="132">
        <v>0</v>
      </c>
      <c r="L46" s="132">
        <v>0</v>
      </c>
      <c r="M46" s="132">
        <v>0</v>
      </c>
      <c r="N46" s="132">
        <v>0</v>
      </c>
      <c r="O46" s="132">
        <v>0</v>
      </c>
      <c r="P46" s="132">
        <v>0</v>
      </c>
      <c r="Q46" s="132">
        <v>0</v>
      </c>
      <c r="R46" s="132">
        <v>0</v>
      </c>
      <c r="S46" s="132">
        <v>0</v>
      </c>
      <c r="T46" s="132">
        <v>0</v>
      </c>
      <c r="U46" s="132">
        <v>0</v>
      </c>
      <c r="V46" s="132">
        <v>0</v>
      </c>
      <c r="W46" s="132">
        <v>0</v>
      </c>
      <c r="X46" s="132">
        <v>0</v>
      </c>
      <c r="Y46" s="132">
        <v>0</v>
      </c>
      <c r="Z46" s="132">
        <v>0</v>
      </c>
      <c r="AA46" s="132">
        <v>138</v>
      </c>
      <c r="AB46" s="133">
        <v>20200</v>
      </c>
      <c r="AC46" s="133">
        <v>17440</v>
      </c>
      <c r="AD46" s="132">
        <v>0</v>
      </c>
      <c r="AE46" s="132">
        <v>0</v>
      </c>
      <c r="AF46" s="132">
        <v>0</v>
      </c>
      <c r="AG46" s="132">
        <v>60</v>
      </c>
      <c r="AH46" s="133">
        <v>27720</v>
      </c>
      <c r="AI46" s="133">
        <v>3000</v>
      </c>
      <c r="AJ46" s="132">
        <v>0</v>
      </c>
      <c r="AK46" s="132">
        <v>0</v>
      </c>
      <c r="AL46" s="132">
        <v>0</v>
      </c>
      <c r="AM46" s="132">
        <v>3</v>
      </c>
      <c r="AN46" s="133">
        <v>3500</v>
      </c>
      <c r="AO46" s="132">
        <v>0</v>
      </c>
      <c r="AP46" s="132">
        <v>0</v>
      </c>
      <c r="AQ46" s="132">
        <v>0</v>
      </c>
      <c r="AR46" s="132">
        <v>0</v>
      </c>
      <c r="AS46" s="132">
        <v>62</v>
      </c>
      <c r="AT46" s="133">
        <v>16400</v>
      </c>
      <c r="AU46" s="132">
        <v>200</v>
      </c>
      <c r="AV46" s="132">
        <v>0</v>
      </c>
      <c r="AW46" s="132">
        <v>0</v>
      </c>
      <c r="AX46" s="132">
        <v>0</v>
      </c>
      <c r="AY46" s="132">
        <v>69</v>
      </c>
      <c r="AZ46" s="133">
        <v>24240</v>
      </c>
      <c r="BA46" s="132">
        <v>0</v>
      </c>
      <c r="BB46" s="132">
        <v>1</v>
      </c>
      <c r="BC46" s="132">
        <v>480</v>
      </c>
      <c r="BD46" s="132">
        <v>0</v>
      </c>
      <c r="BE46" s="132">
        <v>0</v>
      </c>
      <c r="BF46" s="132">
        <v>0</v>
      </c>
      <c r="BG46" s="132">
        <v>0</v>
      </c>
      <c r="BH46" s="132">
        <v>0</v>
      </c>
      <c r="BI46" s="132">
        <v>0</v>
      </c>
      <c r="BJ46" s="132">
        <v>0</v>
      </c>
      <c r="BK46" s="132">
        <v>0</v>
      </c>
      <c r="BL46" s="132">
        <v>0</v>
      </c>
      <c r="BM46" s="132">
        <v>0</v>
      </c>
      <c r="BN46" s="132">
        <v>0</v>
      </c>
      <c r="BO46" s="132">
        <v>0</v>
      </c>
      <c r="BP46" s="132">
        <v>0</v>
      </c>
      <c r="BQ46" s="132">
        <v>0</v>
      </c>
      <c r="BR46" s="134">
        <v>12891.8</v>
      </c>
      <c r="BS46" s="135">
        <v>113180</v>
      </c>
      <c r="BT46" s="84">
        <f t="shared" si="0"/>
        <v>0</v>
      </c>
      <c r="BU46" s="84">
        <f t="shared" si="1"/>
        <v>20640</v>
      </c>
      <c r="BV46" s="84">
        <f t="shared" si="2"/>
        <v>23700</v>
      </c>
      <c r="BW46" s="84">
        <f t="shared" si="3"/>
        <v>16400</v>
      </c>
      <c r="BX46" s="84">
        <f t="shared" si="4"/>
        <v>24720</v>
      </c>
      <c r="BY46" s="84">
        <f t="shared" si="5"/>
        <v>0</v>
      </c>
      <c r="BZ46" s="84">
        <f t="shared" si="6"/>
        <v>27720</v>
      </c>
      <c r="CA46" s="84">
        <f t="shared" si="7"/>
        <v>113180</v>
      </c>
      <c r="CB46" s="84">
        <f t="shared" si="8"/>
        <v>12892</v>
      </c>
      <c r="CC46" s="84">
        <f t="shared" si="9"/>
        <v>100288</v>
      </c>
      <c r="CD46" s="85">
        <f t="shared" si="10"/>
        <v>60173</v>
      </c>
      <c r="CF46" s="6" t="s">
        <v>405</v>
      </c>
      <c r="CG46" s="6" t="str">
        <f t="shared" si="11"/>
        <v>2026-01</v>
      </c>
      <c r="CH46" s="5" t="str">
        <f>_xlfn.XLOOKUP('컨텐츠별 매출 통계'!A46,KEY!$C$3:$C$1000,KEY!$B$3:$B$1000)</f>
        <v>욕망일기</v>
      </c>
      <c r="CI46" s="5">
        <f t="shared" si="12"/>
        <v>60173</v>
      </c>
      <c r="CJ46" s="5">
        <v>0</v>
      </c>
      <c r="CK46" s="5">
        <f t="shared" si="13"/>
        <v>60173</v>
      </c>
      <c r="CL46" s="5"/>
      <c r="CM46" s="5"/>
      <c r="CN46" s="5">
        <f t="shared" si="14"/>
        <v>60173</v>
      </c>
      <c r="CO46" s="5">
        <f t="shared" si="15"/>
        <v>0</v>
      </c>
      <c r="CP46" s="5">
        <f t="shared" si="16"/>
        <v>60173</v>
      </c>
      <c r="CR46" s="45" t="str">
        <f t="shared" si="17"/>
        <v>2026-01월 국내유상이용권 브랜드정산_웹툰&lt;욕망일기&gt;</v>
      </c>
      <c r="CS46" s="45" t="str">
        <f>_xlfn.XLOOKUP(CH46,KEY!$B$3:$B$1000,KEY!$E$3:$E$1000)</f>
        <v>팀 꿀빨</v>
      </c>
      <c r="CT46" s="45" t="str">
        <f>_xlfn.XLOOKUP(CH46,KEY!$B$3:$B$1000,KEY!$F$3:$F$1000)</f>
        <v>욕망일기</v>
      </c>
      <c r="CU46" s="2" t="s">
        <v>41</v>
      </c>
      <c r="CV46" s="33">
        <f t="shared" si="18"/>
        <v>60173</v>
      </c>
      <c r="CW46" s="46" t="str">
        <f>_xlfn.XLOOKUP(CS46,KEY!E:E,KEY!G:G)</f>
        <v>W1300</v>
      </c>
      <c r="CX46" s="46" t="str">
        <f>_xlfn.XLOOKUP(CT46,KEY!F:F,KEY!H:H)</f>
        <v>PN005</v>
      </c>
    </row>
    <row r="47" spans="1:102">
      <c r="A47" s="136" t="s">
        <v>117</v>
      </c>
      <c r="B47" s="130">
        <v>461378</v>
      </c>
      <c r="C47" s="131"/>
      <c r="D47" s="130" t="s">
        <v>385</v>
      </c>
      <c r="E47" s="130" t="s">
        <v>220</v>
      </c>
      <c r="F47" s="130" t="s">
        <v>221</v>
      </c>
      <c r="G47" s="132" t="s">
        <v>222</v>
      </c>
      <c r="H47" s="132" t="s">
        <v>223</v>
      </c>
      <c r="I47" s="132">
        <v>0</v>
      </c>
      <c r="J47" s="133">
        <v>1477</v>
      </c>
      <c r="K47" s="132">
        <v>0</v>
      </c>
      <c r="L47" s="132">
        <v>0</v>
      </c>
      <c r="M47" s="132">
        <v>0</v>
      </c>
      <c r="N47" s="132">
        <v>0</v>
      </c>
      <c r="O47" s="132">
        <v>0</v>
      </c>
      <c r="P47" s="132">
        <v>0</v>
      </c>
      <c r="Q47" s="132">
        <v>0</v>
      </c>
      <c r="R47" s="132">
        <v>0</v>
      </c>
      <c r="S47" s="132">
        <v>0</v>
      </c>
      <c r="T47" s="132">
        <v>0</v>
      </c>
      <c r="U47" s="132">
        <v>0</v>
      </c>
      <c r="V47" s="132">
        <v>0</v>
      </c>
      <c r="W47" s="132">
        <v>0</v>
      </c>
      <c r="X47" s="132">
        <v>0</v>
      </c>
      <c r="Y47" s="132">
        <v>0</v>
      </c>
      <c r="Z47" s="132">
        <v>0</v>
      </c>
      <c r="AA47" s="132">
        <v>49</v>
      </c>
      <c r="AB47" s="133">
        <v>3400</v>
      </c>
      <c r="AC47" s="133">
        <v>5985</v>
      </c>
      <c r="AD47" s="132">
        <v>24</v>
      </c>
      <c r="AE47" s="132">
        <v>800</v>
      </c>
      <c r="AF47" s="133">
        <v>7765</v>
      </c>
      <c r="AG47" s="132">
        <v>14</v>
      </c>
      <c r="AH47" s="133">
        <v>3360</v>
      </c>
      <c r="AI47" s="132">
        <v>0</v>
      </c>
      <c r="AJ47" s="132">
        <v>7</v>
      </c>
      <c r="AK47" s="132">
        <v>0</v>
      </c>
      <c r="AL47" s="133">
        <v>2800</v>
      </c>
      <c r="AM47" s="132">
        <v>1</v>
      </c>
      <c r="AN47" s="132">
        <v>200</v>
      </c>
      <c r="AO47" s="132">
        <v>0</v>
      </c>
      <c r="AP47" s="132">
        <v>0</v>
      </c>
      <c r="AQ47" s="132">
        <v>0</v>
      </c>
      <c r="AR47" s="132">
        <v>0</v>
      </c>
      <c r="AS47" s="132">
        <v>73</v>
      </c>
      <c r="AT47" s="133">
        <v>17520</v>
      </c>
      <c r="AU47" s="132">
        <v>0</v>
      </c>
      <c r="AV47" s="132">
        <v>20</v>
      </c>
      <c r="AW47" s="133">
        <v>9600</v>
      </c>
      <c r="AX47" s="132">
        <v>0</v>
      </c>
      <c r="AY47" s="132">
        <v>49</v>
      </c>
      <c r="AZ47" s="133">
        <v>11640</v>
      </c>
      <c r="BA47" s="132">
        <v>0</v>
      </c>
      <c r="BB47" s="132">
        <v>42</v>
      </c>
      <c r="BC47" s="133">
        <v>19080</v>
      </c>
      <c r="BD47" s="132">
        <v>800</v>
      </c>
      <c r="BE47" s="132">
        <v>0</v>
      </c>
      <c r="BF47" s="132">
        <v>0</v>
      </c>
      <c r="BG47" s="132">
        <v>0</v>
      </c>
      <c r="BH47" s="132">
        <v>0</v>
      </c>
      <c r="BI47" s="132">
        <v>0</v>
      </c>
      <c r="BJ47" s="132">
        <v>0</v>
      </c>
      <c r="BK47" s="132">
        <v>0</v>
      </c>
      <c r="BL47" s="132">
        <v>0</v>
      </c>
      <c r="BM47" s="132">
        <v>0</v>
      </c>
      <c r="BN47" s="132">
        <v>0</v>
      </c>
      <c r="BO47" s="132">
        <v>0</v>
      </c>
      <c r="BP47" s="132">
        <v>0</v>
      </c>
      <c r="BQ47" s="132">
        <v>0</v>
      </c>
      <c r="BR47" s="134">
        <v>6616.8</v>
      </c>
      <c r="BS47" s="135">
        <v>82950</v>
      </c>
      <c r="BT47" s="84">
        <f t="shared" si="0"/>
        <v>0</v>
      </c>
      <c r="BU47" s="84">
        <f t="shared" si="1"/>
        <v>17350</v>
      </c>
      <c r="BV47" s="84">
        <f t="shared" si="2"/>
        <v>4400</v>
      </c>
      <c r="BW47" s="84">
        <f t="shared" si="3"/>
        <v>27120</v>
      </c>
      <c r="BX47" s="84">
        <f t="shared" si="4"/>
        <v>30720</v>
      </c>
      <c r="BY47" s="84">
        <f t="shared" si="5"/>
        <v>0</v>
      </c>
      <c r="BZ47" s="84">
        <f t="shared" si="6"/>
        <v>3360</v>
      </c>
      <c r="CA47" s="84">
        <f t="shared" si="7"/>
        <v>82950</v>
      </c>
      <c r="CB47" s="84">
        <f t="shared" si="8"/>
        <v>6617</v>
      </c>
      <c r="CC47" s="84">
        <f t="shared" si="9"/>
        <v>76333</v>
      </c>
      <c r="CD47" s="85">
        <f t="shared" si="10"/>
        <v>45800</v>
      </c>
      <c r="CF47" s="6" t="s">
        <v>405</v>
      </c>
      <c r="CG47" s="6" t="str">
        <f t="shared" si="11"/>
        <v>2026-01</v>
      </c>
      <c r="CH47" s="5" t="str">
        <f>_xlfn.XLOOKUP('컨텐츠별 매출 통계'!A47,KEY!$C$3:$C$1000,KEY!$B$3:$B$1000)</f>
        <v>매지컬급식</v>
      </c>
      <c r="CI47" s="5">
        <f t="shared" si="12"/>
        <v>45800</v>
      </c>
      <c r="CJ47" s="5">
        <v>0</v>
      </c>
      <c r="CK47" s="5">
        <f t="shared" si="13"/>
        <v>45800</v>
      </c>
      <c r="CL47" s="5"/>
      <c r="CM47" s="5"/>
      <c r="CN47" s="5">
        <f t="shared" si="14"/>
        <v>45800</v>
      </c>
      <c r="CO47" s="5">
        <f t="shared" si="15"/>
        <v>0</v>
      </c>
      <c r="CP47" s="5">
        <f t="shared" si="16"/>
        <v>45800</v>
      </c>
      <c r="CR47" s="45" t="str">
        <f t="shared" si="17"/>
        <v>2026-01월 국내유상이용권 브랜드정산_웹툰&lt;매지컬급식&gt;</v>
      </c>
      <c r="CS47" s="45" t="str">
        <f>_xlfn.XLOOKUP(CH47,KEY!$B$3:$B$1000,KEY!$E$3:$E$1000)</f>
        <v>전략기획팀</v>
      </c>
      <c r="CT47" s="45" t="str">
        <f>_xlfn.XLOOKUP(CH47,KEY!$B$3:$B$1000,KEY!$F$3:$F$1000)</f>
        <v>매지컬급식</v>
      </c>
      <c r="CU47" s="2" t="s">
        <v>41</v>
      </c>
      <c r="CV47" s="33">
        <f t="shared" si="18"/>
        <v>45800</v>
      </c>
      <c r="CW47" s="46" t="str">
        <f>_xlfn.XLOOKUP(CS47,KEY!E:E,KEY!G:G)</f>
        <v>B1200</v>
      </c>
      <c r="CX47" s="46" t="str">
        <f>_xlfn.XLOOKUP(CT47,KEY!F:F,KEY!H:H)</f>
        <v>PN013</v>
      </c>
    </row>
    <row r="48" spans="1:102">
      <c r="A48" s="136" t="s">
        <v>108</v>
      </c>
      <c r="B48" s="130">
        <v>450444</v>
      </c>
      <c r="C48" s="131"/>
      <c r="D48" s="130" t="s">
        <v>385</v>
      </c>
      <c r="E48" s="130" t="s">
        <v>165</v>
      </c>
      <c r="F48" s="130" t="s">
        <v>165</v>
      </c>
      <c r="G48" s="132" t="s">
        <v>166</v>
      </c>
      <c r="H48" s="132" t="s">
        <v>216</v>
      </c>
      <c r="I48" s="132">
        <v>1</v>
      </c>
      <c r="J48" s="133">
        <v>2108</v>
      </c>
      <c r="K48" s="132">
        <v>200</v>
      </c>
      <c r="L48" s="132">
        <v>0</v>
      </c>
      <c r="M48" s="132">
        <v>0</v>
      </c>
      <c r="N48" s="132">
        <v>0</v>
      </c>
      <c r="O48" s="132">
        <v>0</v>
      </c>
      <c r="P48" s="132">
        <v>0</v>
      </c>
      <c r="Q48" s="132">
        <v>0</v>
      </c>
      <c r="R48" s="132">
        <v>0</v>
      </c>
      <c r="S48" s="132">
        <v>0</v>
      </c>
      <c r="T48" s="132">
        <v>0</v>
      </c>
      <c r="U48" s="132">
        <v>0</v>
      </c>
      <c r="V48" s="132">
        <v>0</v>
      </c>
      <c r="W48" s="132">
        <v>0</v>
      </c>
      <c r="X48" s="132">
        <v>0</v>
      </c>
      <c r="Y48" s="132">
        <v>0</v>
      </c>
      <c r="Z48" s="132">
        <v>0</v>
      </c>
      <c r="AA48" s="132">
        <v>42</v>
      </c>
      <c r="AB48" s="133">
        <v>15600</v>
      </c>
      <c r="AC48" s="133">
        <v>6780</v>
      </c>
      <c r="AD48" s="132">
        <v>0</v>
      </c>
      <c r="AE48" s="132">
        <v>0</v>
      </c>
      <c r="AF48" s="132">
        <v>0</v>
      </c>
      <c r="AG48" s="132">
        <v>37</v>
      </c>
      <c r="AH48" s="132">
        <v>720</v>
      </c>
      <c r="AI48" s="133">
        <v>6800</v>
      </c>
      <c r="AJ48" s="132">
        <v>0</v>
      </c>
      <c r="AK48" s="132">
        <v>0</v>
      </c>
      <c r="AL48" s="132">
        <v>0</v>
      </c>
      <c r="AM48" s="132">
        <v>1</v>
      </c>
      <c r="AN48" s="132">
        <v>200</v>
      </c>
      <c r="AO48" s="132">
        <v>0</v>
      </c>
      <c r="AP48" s="132">
        <v>0</v>
      </c>
      <c r="AQ48" s="132">
        <v>0</v>
      </c>
      <c r="AR48" s="132">
        <v>0</v>
      </c>
      <c r="AS48" s="132">
        <v>60</v>
      </c>
      <c r="AT48" s="133">
        <v>18200</v>
      </c>
      <c r="AU48" s="132">
        <v>0</v>
      </c>
      <c r="AV48" s="132">
        <v>0</v>
      </c>
      <c r="AW48" s="132">
        <v>0</v>
      </c>
      <c r="AX48" s="132">
        <v>0</v>
      </c>
      <c r="AY48" s="132">
        <v>73</v>
      </c>
      <c r="AZ48" s="133">
        <v>21360</v>
      </c>
      <c r="BA48" s="132">
        <v>0</v>
      </c>
      <c r="BB48" s="132">
        <v>0</v>
      </c>
      <c r="BC48" s="132">
        <v>0</v>
      </c>
      <c r="BD48" s="132">
        <v>0</v>
      </c>
      <c r="BE48" s="132">
        <v>0</v>
      </c>
      <c r="BF48" s="132">
        <v>0</v>
      </c>
      <c r="BG48" s="132">
        <v>0</v>
      </c>
      <c r="BH48" s="132">
        <v>0</v>
      </c>
      <c r="BI48" s="132">
        <v>0</v>
      </c>
      <c r="BJ48" s="132">
        <v>0</v>
      </c>
      <c r="BK48" s="132">
        <v>0</v>
      </c>
      <c r="BL48" s="132">
        <v>0</v>
      </c>
      <c r="BM48" s="132">
        <v>0</v>
      </c>
      <c r="BN48" s="132">
        <v>0</v>
      </c>
      <c r="BO48" s="132">
        <v>0</v>
      </c>
      <c r="BP48" s="132">
        <v>0</v>
      </c>
      <c r="BQ48" s="132">
        <v>0</v>
      </c>
      <c r="BR48" s="134">
        <v>4432.3999999999996</v>
      </c>
      <c r="BS48" s="135">
        <v>69860</v>
      </c>
      <c r="BT48" s="84">
        <f t="shared" si="0"/>
        <v>0</v>
      </c>
      <c r="BU48" s="84">
        <f t="shared" si="1"/>
        <v>13780</v>
      </c>
      <c r="BV48" s="84">
        <f t="shared" si="2"/>
        <v>15800</v>
      </c>
      <c r="BW48" s="84">
        <f t="shared" si="3"/>
        <v>18200</v>
      </c>
      <c r="BX48" s="84">
        <f t="shared" si="4"/>
        <v>21360</v>
      </c>
      <c r="BY48" s="84">
        <f t="shared" si="5"/>
        <v>0</v>
      </c>
      <c r="BZ48" s="84">
        <f t="shared" si="6"/>
        <v>720</v>
      </c>
      <c r="CA48" s="84">
        <f t="shared" si="7"/>
        <v>69860</v>
      </c>
      <c r="CB48" s="84">
        <f t="shared" si="8"/>
        <v>4432</v>
      </c>
      <c r="CC48" s="84">
        <f t="shared" si="9"/>
        <v>65428</v>
      </c>
      <c r="CD48" s="85">
        <f t="shared" si="10"/>
        <v>39257</v>
      </c>
      <c r="CF48" s="6" t="s">
        <v>405</v>
      </c>
      <c r="CG48" s="6" t="str">
        <f t="shared" si="11"/>
        <v>2026-01</v>
      </c>
      <c r="CH48" s="5" t="str">
        <f>_xlfn.XLOOKUP('컨텐츠별 매출 통계'!A48,KEY!$C$3:$C$1000,KEY!$B$3:$B$1000)</f>
        <v>존망코인</v>
      </c>
      <c r="CI48" s="5">
        <f t="shared" si="12"/>
        <v>39257</v>
      </c>
      <c r="CJ48" s="5">
        <v>0</v>
      </c>
      <c r="CK48" s="5">
        <f t="shared" si="13"/>
        <v>39257</v>
      </c>
      <c r="CL48" s="5"/>
      <c r="CM48" s="5"/>
      <c r="CN48" s="5">
        <f t="shared" si="14"/>
        <v>39257</v>
      </c>
      <c r="CO48" s="5">
        <f t="shared" si="15"/>
        <v>0</v>
      </c>
      <c r="CP48" s="5">
        <f t="shared" si="16"/>
        <v>39257</v>
      </c>
      <c r="CR48" s="45" t="str">
        <f t="shared" si="17"/>
        <v>2026-01월 국내유상이용권 브랜드정산_웹툰&lt;존망코인&gt;</v>
      </c>
      <c r="CS48" s="45" t="str">
        <f>_xlfn.XLOOKUP(CH48,KEY!$B$3:$B$1000,KEY!$E$3:$E$1000)</f>
        <v>전략기획팀</v>
      </c>
      <c r="CT48" s="45" t="str">
        <f>_xlfn.XLOOKUP(CH48,KEY!$B$3:$B$1000,KEY!$F$3:$F$1000)</f>
        <v>존망코인</v>
      </c>
      <c r="CU48" s="2" t="s">
        <v>41</v>
      </c>
      <c r="CV48" s="33">
        <f t="shared" si="18"/>
        <v>39257</v>
      </c>
      <c r="CW48" s="46" t="str">
        <f>_xlfn.XLOOKUP(CS48,KEY!E:E,KEY!G:G)</f>
        <v>B1200</v>
      </c>
      <c r="CX48" s="46" t="str">
        <f>_xlfn.XLOOKUP(CT48,KEY!F:F,KEY!H:H)</f>
        <v>PN007</v>
      </c>
    </row>
    <row r="49" spans="1:102">
      <c r="A49" s="136" t="s">
        <v>208</v>
      </c>
      <c r="B49" s="130">
        <v>450433</v>
      </c>
      <c r="C49" s="131"/>
      <c r="D49" s="130" t="s">
        <v>385</v>
      </c>
      <c r="E49" s="130" t="s">
        <v>209</v>
      </c>
      <c r="F49" s="130" t="s">
        <v>209</v>
      </c>
      <c r="G49" s="132" t="s">
        <v>170</v>
      </c>
      <c r="H49" s="132" t="s">
        <v>210</v>
      </c>
      <c r="I49" s="132">
        <v>0</v>
      </c>
      <c r="J49" s="133">
        <v>1505</v>
      </c>
      <c r="K49" s="132">
        <v>0</v>
      </c>
      <c r="L49" s="132">
        <v>0</v>
      </c>
      <c r="M49" s="132">
        <v>0</v>
      </c>
      <c r="N49" s="132">
        <v>0</v>
      </c>
      <c r="O49" s="132">
        <v>0</v>
      </c>
      <c r="P49" s="132">
        <v>0</v>
      </c>
      <c r="Q49" s="132">
        <v>0</v>
      </c>
      <c r="R49" s="132">
        <v>0</v>
      </c>
      <c r="S49" s="132">
        <v>0</v>
      </c>
      <c r="T49" s="132">
        <v>0</v>
      </c>
      <c r="U49" s="132">
        <v>0</v>
      </c>
      <c r="V49" s="132">
        <v>0</v>
      </c>
      <c r="W49" s="132">
        <v>0</v>
      </c>
      <c r="X49" s="132">
        <v>0</v>
      </c>
      <c r="Y49" s="132">
        <v>0</v>
      </c>
      <c r="Z49" s="132">
        <v>0</v>
      </c>
      <c r="AA49" s="132">
        <v>178</v>
      </c>
      <c r="AB49" s="133">
        <v>4300</v>
      </c>
      <c r="AC49" s="133">
        <v>12105</v>
      </c>
      <c r="AD49" s="132">
        <v>1</v>
      </c>
      <c r="AE49" s="132">
        <v>0</v>
      </c>
      <c r="AF49" s="132">
        <v>200</v>
      </c>
      <c r="AG49" s="132">
        <v>125</v>
      </c>
      <c r="AH49" s="133">
        <v>11384</v>
      </c>
      <c r="AI49" s="133">
        <v>3000</v>
      </c>
      <c r="AJ49" s="132">
        <v>0</v>
      </c>
      <c r="AK49" s="132">
        <v>0</v>
      </c>
      <c r="AL49" s="132">
        <v>0</v>
      </c>
      <c r="AM49" s="132">
        <v>23</v>
      </c>
      <c r="AN49" s="133">
        <v>2300</v>
      </c>
      <c r="AO49" s="132">
        <v>0</v>
      </c>
      <c r="AP49" s="132">
        <v>0</v>
      </c>
      <c r="AQ49" s="132">
        <v>0</v>
      </c>
      <c r="AR49" s="132">
        <v>0</v>
      </c>
      <c r="AS49" s="132">
        <v>75</v>
      </c>
      <c r="AT49" s="133">
        <v>9000</v>
      </c>
      <c r="AU49" s="132">
        <v>0</v>
      </c>
      <c r="AV49" s="132">
        <v>0</v>
      </c>
      <c r="AW49" s="132">
        <v>0</v>
      </c>
      <c r="AX49" s="132">
        <v>0</v>
      </c>
      <c r="AY49" s="132">
        <v>218</v>
      </c>
      <c r="AZ49" s="133">
        <v>26160</v>
      </c>
      <c r="BA49" s="132">
        <v>0</v>
      </c>
      <c r="BB49" s="132">
        <v>0</v>
      </c>
      <c r="BC49" s="132">
        <v>0</v>
      </c>
      <c r="BD49" s="132">
        <v>0</v>
      </c>
      <c r="BE49" s="132">
        <v>0</v>
      </c>
      <c r="BF49" s="132">
        <v>0</v>
      </c>
      <c r="BG49" s="132">
        <v>0</v>
      </c>
      <c r="BH49" s="132">
        <v>0</v>
      </c>
      <c r="BI49" s="132">
        <v>0</v>
      </c>
      <c r="BJ49" s="132">
        <v>0</v>
      </c>
      <c r="BK49" s="132">
        <v>0</v>
      </c>
      <c r="BL49" s="132">
        <v>0</v>
      </c>
      <c r="BM49" s="132">
        <v>0</v>
      </c>
      <c r="BN49" s="132">
        <v>0</v>
      </c>
      <c r="BO49" s="132">
        <v>0</v>
      </c>
      <c r="BP49" s="132">
        <v>0</v>
      </c>
      <c r="BQ49" s="132">
        <v>0</v>
      </c>
      <c r="BR49" s="134">
        <v>6867.6</v>
      </c>
      <c r="BS49" s="135">
        <v>68449</v>
      </c>
      <c r="BT49" s="84">
        <f t="shared" si="0"/>
        <v>0</v>
      </c>
      <c r="BU49" s="84">
        <f t="shared" si="1"/>
        <v>15305</v>
      </c>
      <c r="BV49" s="84">
        <f t="shared" si="2"/>
        <v>6600</v>
      </c>
      <c r="BW49" s="84">
        <f t="shared" si="3"/>
        <v>9000</v>
      </c>
      <c r="BX49" s="84">
        <f t="shared" si="4"/>
        <v>26160</v>
      </c>
      <c r="BY49" s="84">
        <f t="shared" si="5"/>
        <v>0</v>
      </c>
      <c r="BZ49" s="84">
        <f t="shared" si="6"/>
        <v>11384</v>
      </c>
      <c r="CA49" s="84">
        <f t="shared" si="7"/>
        <v>68449</v>
      </c>
      <c r="CB49" s="84">
        <f t="shared" si="8"/>
        <v>6868</v>
      </c>
      <c r="CC49" s="84">
        <f t="shared" si="9"/>
        <v>61581</v>
      </c>
      <c r="CD49" s="85">
        <f t="shared" si="10"/>
        <v>36949</v>
      </c>
      <c r="CF49" s="6" t="s">
        <v>405</v>
      </c>
      <c r="CG49" s="6" t="str">
        <f t="shared" si="11"/>
        <v>2026-01</v>
      </c>
      <c r="CH49" s="5" t="str">
        <f>_xlfn.XLOOKUP('컨텐츠별 매출 통계'!A49,KEY!$C$3:$C$1000,KEY!$B$3:$B$1000)</f>
        <v>소극적인간</v>
      </c>
      <c r="CI49" s="5">
        <f t="shared" si="12"/>
        <v>36949</v>
      </c>
      <c r="CJ49" s="5">
        <v>0</v>
      </c>
      <c r="CK49" s="5">
        <f t="shared" si="13"/>
        <v>36949</v>
      </c>
      <c r="CL49" s="5"/>
      <c r="CM49" s="5"/>
      <c r="CN49" s="5">
        <f t="shared" si="14"/>
        <v>36949</v>
      </c>
      <c r="CO49" s="5">
        <f t="shared" si="15"/>
        <v>0</v>
      </c>
      <c r="CP49" s="5">
        <f t="shared" si="16"/>
        <v>36949</v>
      </c>
      <c r="CR49" s="45" t="str">
        <f t="shared" si="17"/>
        <v>2026-01월 국내유상이용권 브랜드정산_웹툰&lt;소극적인간&gt;</v>
      </c>
      <c r="CS49" s="45" t="str">
        <f>_xlfn.XLOOKUP(CH49,KEY!$B$3:$B$1000,KEY!$E$3:$E$1000)</f>
        <v>전략기획팀</v>
      </c>
      <c r="CT49" s="45" t="str">
        <f>_xlfn.XLOOKUP(CH49,KEY!$B$3:$B$1000,KEY!$F$3:$F$1000)</f>
        <v>소극적인간</v>
      </c>
      <c r="CU49" s="2" t="s">
        <v>41</v>
      </c>
      <c r="CV49" s="33">
        <f t="shared" si="18"/>
        <v>36949</v>
      </c>
      <c r="CW49" s="46" t="str">
        <f>_xlfn.XLOOKUP(CS49,KEY!E:E,KEY!G:G)</f>
        <v>B1200</v>
      </c>
      <c r="CX49" s="46" t="str">
        <f>_xlfn.XLOOKUP(CT49,KEY!F:F,KEY!H:H)</f>
        <v>PN012</v>
      </c>
    </row>
    <row r="50" spans="1:102">
      <c r="A50" s="136" t="s">
        <v>132</v>
      </c>
      <c r="B50" s="130">
        <v>525286</v>
      </c>
      <c r="C50" s="131"/>
      <c r="D50" s="130" t="s">
        <v>385</v>
      </c>
      <c r="E50" s="130" t="s">
        <v>188</v>
      </c>
      <c r="F50" s="130" t="s">
        <v>165</v>
      </c>
      <c r="G50" s="132" t="s">
        <v>166</v>
      </c>
      <c r="H50" s="132" t="s">
        <v>387</v>
      </c>
      <c r="I50" s="132">
        <v>0</v>
      </c>
      <c r="J50" s="132">
        <v>0</v>
      </c>
      <c r="K50" s="132">
        <v>0</v>
      </c>
      <c r="L50" s="132">
        <v>0</v>
      </c>
      <c r="M50" s="132">
        <v>0</v>
      </c>
      <c r="N50" s="132">
        <v>0</v>
      </c>
      <c r="O50" s="132">
        <v>0</v>
      </c>
      <c r="P50" s="132">
        <v>0</v>
      </c>
      <c r="Q50" s="132">
        <v>0</v>
      </c>
      <c r="R50" s="132">
        <v>0</v>
      </c>
      <c r="S50" s="132">
        <v>0</v>
      </c>
      <c r="T50" s="132">
        <v>0</v>
      </c>
      <c r="U50" s="132">
        <v>0</v>
      </c>
      <c r="V50" s="132">
        <v>0</v>
      </c>
      <c r="W50" s="132">
        <v>0</v>
      </c>
      <c r="X50" s="132">
        <v>0</v>
      </c>
      <c r="Y50" s="132">
        <v>0</v>
      </c>
      <c r="Z50" s="132">
        <v>0</v>
      </c>
      <c r="AA50" s="132">
        <v>0</v>
      </c>
      <c r="AB50" s="132">
        <v>0</v>
      </c>
      <c r="AC50" s="132">
        <v>0</v>
      </c>
      <c r="AD50" s="132">
        <v>78</v>
      </c>
      <c r="AE50" s="133">
        <v>39000</v>
      </c>
      <c r="AF50" s="132">
        <v>0</v>
      </c>
      <c r="AG50" s="132">
        <v>0</v>
      </c>
      <c r="AH50" s="132">
        <v>0</v>
      </c>
      <c r="AI50" s="132">
        <v>0</v>
      </c>
      <c r="AJ50" s="132">
        <v>0</v>
      </c>
      <c r="AK50" s="132">
        <v>0</v>
      </c>
      <c r="AL50" s="132">
        <v>0</v>
      </c>
      <c r="AM50" s="132">
        <v>0</v>
      </c>
      <c r="AN50" s="132">
        <v>0</v>
      </c>
      <c r="AO50" s="132">
        <v>0</v>
      </c>
      <c r="AP50" s="132">
        <v>0</v>
      </c>
      <c r="AQ50" s="132">
        <v>0</v>
      </c>
      <c r="AR50" s="132">
        <v>0</v>
      </c>
      <c r="AS50" s="132">
        <v>0</v>
      </c>
      <c r="AT50" s="132">
        <v>0</v>
      </c>
      <c r="AU50" s="132">
        <v>0</v>
      </c>
      <c r="AV50" s="132">
        <v>0</v>
      </c>
      <c r="AW50" s="132">
        <v>0</v>
      </c>
      <c r="AX50" s="132">
        <v>0</v>
      </c>
      <c r="AY50" s="132">
        <v>0</v>
      </c>
      <c r="AZ50" s="132">
        <v>0</v>
      </c>
      <c r="BA50" s="132">
        <v>0</v>
      </c>
      <c r="BB50" s="132">
        <v>0</v>
      </c>
      <c r="BC50" s="132">
        <v>0</v>
      </c>
      <c r="BD50" s="132">
        <v>0</v>
      </c>
      <c r="BE50" s="132">
        <v>0</v>
      </c>
      <c r="BF50" s="132">
        <v>0</v>
      </c>
      <c r="BG50" s="132">
        <v>0</v>
      </c>
      <c r="BH50" s="132">
        <v>0</v>
      </c>
      <c r="BI50" s="132">
        <v>0</v>
      </c>
      <c r="BJ50" s="132">
        <v>0</v>
      </c>
      <c r="BK50" s="132">
        <v>0</v>
      </c>
      <c r="BL50" s="132">
        <v>0</v>
      </c>
      <c r="BM50" s="132">
        <v>0</v>
      </c>
      <c r="BN50" s="132">
        <v>0</v>
      </c>
      <c r="BO50" s="132">
        <v>0</v>
      </c>
      <c r="BP50" s="132">
        <v>0</v>
      </c>
      <c r="BQ50" s="132">
        <v>0</v>
      </c>
      <c r="BR50" s="134">
        <v>1170</v>
      </c>
      <c r="BS50" s="135">
        <v>39000</v>
      </c>
      <c r="BT50" s="84">
        <f t="shared" si="0"/>
        <v>0</v>
      </c>
      <c r="BU50" s="84">
        <f t="shared" si="1"/>
        <v>0</v>
      </c>
      <c r="BV50" s="84">
        <f t="shared" si="2"/>
        <v>39000</v>
      </c>
      <c r="BW50" s="84">
        <f t="shared" si="3"/>
        <v>0</v>
      </c>
      <c r="BX50" s="84">
        <f t="shared" si="4"/>
        <v>0</v>
      </c>
      <c r="BY50" s="84">
        <f t="shared" si="5"/>
        <v>0</v>
      </c>
      <c r="BZ50" s="84">
        <f t="shared" si="6"/>
        <v>0</v>
      </c>
      <c r="CA50" s="84">
        <f t="shared" si="7"/>
        <v>39000</v>
      </c>
      <c r="CB50" s="84">
        <f t="shared" si="8"/>
        <v>1170</v>
      </c>
      <c r="CC50" s="84">
        <f t="shared" si="9"/>
        <v>37830</v>
      </c>
      <c r="CD50" s="85">
        <f t="shared" si="10"/>
        <v>22698</v>
      </c>
      <c r="CF50" s="6" t="s">
        <v>405</v>
      </c>
      <c r="CG50" s="6" t="str">
        <f t="shared" si="11"/>
        <v>2026-01</v>
      </c>
      <c r="CH50" s="5" t="str">
        <f>_xlfn.XLOOKUP('컨텐츠별 매출 통계'!A50,KEY!$C$3:$C$1000,KEY!$B$3:$B$1000)</f>
        <v>체탐자</v>
      </c>
      <c r="CI50" s="5">
        <f t="shared" si="12"/>
        <v>22698</v>
      </c>
      <c r="CJ50" s="5">
        <v>0</v>
      </c>
      <c r="CK50" s="5">
        <f t="shared" si="13"/>
        <v>22698</v>
      </c>
      <c r="CL50" s="5"/>
      <c r="CM50" s="5"/>
      <c r="CN50" s="5">
        <f t="shared" si="14"/>
        <v>22698</v>
      </c>
      <c r="CO50" s="5">
        <f t="shared" si="15"/>
        <v>0</v>
      </c>
      <c r="CP50" s="5">
        <f t="shared" si="16"/>
        <v>22698</v>
      </c>
      <c r="CR50" s="45" t="str">
        <f t="shared" si="17"/>
        <v>2026-01월 국내유상이용권 브랜드정산_웹툰&lt;체탐자&gt;</v>
      </c>
      <c r="CS50" s="45" t="str">
        <f>_xlfn.XLOOKUP(CH50,KEY!$B$3:$B$1000,KEY!$E$3:$E$1000)</f>
        <v>팀 병장</v>
      </c>
      <c r="CT50" s="45" t="str">
        <f>_xlfn.XLOOKUP(CH50,KEY!$B$3:$B$1000,KEY!$F$3:$F$1000)</f>
        <v>체탐자</v>
      </c>
      <c r="CU50" s="2" t="s">
        <v>41</v>
      </c>
      <c r="CV50" s="33">
        <f t="shared" si="18"/>
        <v>22698</v>
      </c>
      <c r="CW50" s="46" t="str">
        <f>_xlfn.XLOOKUP(CS50,KEY!E:E,KEY!G:G)</f>
        <v>W1400</v>
      </c>
      <c r="CX50" s="46" t="str">
        <f>_xlfn.XLOOKUP(CT50,KEY!F:F,KEY!H:H)</f>
        <v>PN020</v>
      </c>
    </row>
    <row r="51" spans="1:102">
      <c r="A51" s="136" t="s">
        <v>144</v>
      </c>
      <c r="B51" s="130">
        <v>574030</v>
      </c>
      <c r="C51" s="131"/>
      <c r="D51" s="130" t="s">
        <v>385</v>
      </c>
      <c r="E51" s="130" t="s">
        <v>181</v>
      </c>
      <c r="F51" s="130" t="s">
        <v>165</v>
      </c>
      <c r="G51" s="132" t="s">
        <v>166</v>
      </c>
      <c r="H51" s="132" t="s">
        <v>354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52</v>
      </c>
      <c r="AW51" s="133">
        <v>31200</v>
      </c>
      <c r="AX51" s="132">
        <v>0</v>
      </c>
      <c r="AY51" s="132">
        <v>0</v>
      </c>
      <c r="AZ51" s="132">
        <v>0</v>
      </c>
      <c r="BA51" s="132">
        <v>0</v>
      </c>
      <c r="BB51" s="132">
        <v>0</v>
      </c>
      <c r="BC51" s="132">
        <v>0</v>
      </c>
      <c r="BD51" s="132">
        <v>0</v>
      </c>
      <c r="BE51" s="132">
        <v>0</v>
      </c>
      <c r="BF51" s="132">
        <v>0</v>
      </c>
      <c r="BG51" s="132">
        <v>0</v>
      </c>
      <c r="BH51" s="132">
        <v>0</v>
      </c>
      <c r="BI51" s="132">
        <v>0</v>
      </c>
      <c r="BJ51" s="132">
        <v>0</v>
      </c>
      <c r="BK51" s="132">
        <v>0</v>
      </c>
      <c r="BL51" s="132">
        <v>0</v>
      </c>
      <c r="BM51" s="132">
        <v>0</v>
      </c>
      <c r="BN51" s="132">
        <v>0</v>
      </c>
      <c r="BO51" s="132">
        <v>0</v>
      </c>
      <c r="BP51" s="132">
        <v>0</v>
      </c>
      <c r="BQ51" s="132">
        <v>0</v>
      </c>
      <c r="BR51" s="134">
        <v>3120</v>
      </c>
      <c r="BS51" s="135">
        <v>31200</v>
      </c>
      <c r="BT51" s="84">
        <f t="shared" si="0"/>
        <v>0</v>
      </c>
      <c r="BU51" s="84">
        <f t="shared" si="1"/>
        <v>0</v>
      </c>
      <c r="BV51" s="84">
        <f t="shared" si="2"/>
        <v>0</v>
      </c>
      <c r="BW51" s="84">
        <f t="shared" si="3"/>
        <v>31200</v>
      </c>
      <c r="BX51" s="84">
        <f t="shared" si="4"/>
        <v>0</v>
      </c>
      <c r="BY51" s="84">
        <f t="shared" si="5"/>
        <v>0</v>
      </c>
      <c r="BZ51" s="84">
        <f t="shared" si="6"/>
        <v>0</v>
      </c>
      <c r="CA51" s="84">
        <f t="shared" si="7"/>
        <v>31200</v>
      </c>
      <c r="CB51" s="86">
        <f>ROUND(BR51,0)-1</f>
        <v>3119</v>
      </c>
      <c r="CC51" s="84">
        <f t="shared" si="9"/>
        <v>28081</v>
      </c>
      <c r="CD51" s="85">
        <f t="shared" si="10"/>
        <v>16849</v>
      </c>
      <c r="CF51" s="6" t="s">
        <v>405</v>
      </c>
      <c r="CG51" s="6" t="str">
        <f t="shared" si="11"/>
        <v>2026-01</v>
      </c>
      <c r="CH51" s="5" t="str">
        <f>_xlfn.XLOOKUP('컨텐츠별 매출 통계'!A51,KEY!$C$3:$C$1000,KEY!$B$3:$B$1000)</f>
        <v>소년법칙</v>
      </c>
      <c r="CI51" s="5">
        <f t="shared" si="12"/>
        <v>16849</v>
      </c>
      <c r="CJ51" s="5">
        <v>0</v>
      </c>
      <c r="CK51" s="5">
        <f t="shared" si="13"/>
        <v>16849</v>
      </c>
      <c r="CL51" s="5"/>
      <c r="CM51" s="5"/>
      <c r="CN51" s="5">
        <f t="shared" si="14"/>
        <v>16849</v>
      </c>
      <c r="CO51" s="5">
        <f t="shared" si="15"/>
        <v>0</v>
      </c>
      <c r="CP51" s="5">
        <f t="shared" si="16"/>
        <v>16849</v>
      </c>
      <c r="CR51" s="45" t="str">
        <f t="shared" si="17"/>
        <v>2026-01월 국내유상이용권 브랜드정산_웹툰&lt;소년법칙&gt;</v>
      </c>
      <c r="CS51" s="45" t="str">
        <f>_xlfn.XLOOKUP(CH51,KEY!$B$3:$B$1000,KEY!$E$3:$E$1000)</f>
        <v>팀 병장</v>
      </c>
      <c r="CT51" s="45" t="str">
        <f>_xlfn.XLOOKUP(CH51,KEY!$B$3:$B$1000,KEY!$F$3:$F$1000)</f>
        <v>소년법칙(가제.데드멘숀)</v>
      </c>
      <c r="CU51" s="2" t="s">
        <v>41</v>
      </c>
      <c r="CV51" s="33">
        <f t="shared" si="18"/>
        <v>16849</v>
      </c>
      <c r="CW51" s="46" t="str">
        <f>_xlfn.XLOOKUP(CS51,KEY!E:E,KEY!G:G)</f>
        <v>W1400</v>
      </c>
      <c r="CX51" s="46" t="str">
        <f>_xlfn.XLOOKUP(CT51,KEY!F:F,KEY!H:H)</f>
        <v>PN047</v>
      </c>
    </row>
    <row r="52" spans="1:102">
      <c r="A52" s="136" t="s">
        <v>136</v>
      </c>
      <c r="B52" s="130">
        <v>542562</v>
      </c>
      <c r="C52" s="131"/>
      <c r="D52" s="130" t="s">
        <v>385</v>
      </c>
      <c r="E52" s="130" t="s">
        <v>217</v>
      </c>
      <c r="F52" s="130" t="s">
        <v>218</v>
      </c>
      <c r="G52" s="132" t="s">
        <v>166</v>
      </c>
      <c r="H52" s="132" t="s">
        <v>219</v>
      </c>
      <c r="I52" s="132">
        <v>0</v>
      </c>
      <c r="J52" s="132">
        <v>134</v>
      </c>
      <c r="K52" s="132">
        <v>0</v>
      </c>
      <c r="L52" s="132">
        <v>0</v>
      </c>
      <c r="M52" s="132">
        <v>0</v>
      </c>
      <c r="N52" s="132">
        <v>0</v>
      </c>
      <c r="O52" s="132">
        <v>0</v>
      </c>
      <c r="P52" s="132">
        <v>0</v>
      </c>
      <c r="Q52" s="132">
        <v>0</v>
      </c>
      <c r="R52" s="132">
        <v>0</v>
      </c>
      <c r="S52" s="132">
        <v>0</v>
      </c>
      <c r="T52" s="132">
        <v>0</v>
      </c>
      <c r="U52" s="132">
        <v>0</v>
      </c>
      <c r="V52" s="132">
        <v>0</v>
      </c>
      <c r="W52" s="132">
        <v>0</v>
      </c>
      <c r="X52" s="132">
        <v>0</v>
      </c>
      <c r="Y52" s="132">
        <v>0</v>
      </c>
      <c r="Z52" s="132">
        <v>0</v>
      </c>
      <c r="AA52" s="132">
        <v>35</v>
      </c>
      <c r="AB52" s="133">
        <v>6600</v>
      </c>
      <c r="AC52" s="132">
        <v>400</v>
      </c>
      <c r="AD52" s="132">
        <v>0</v>
      </c>
      <c r="AE52" s="132">
        <v>0</v>
      </c>
      <c r="AF52" s="132">
        <v>0</v>
      </c>
      <c r="AG52" s="132">
        <v>2</v>
      </c>
      <c r="AH52" s="132">
        <v>480</v>
      </c>
      <c r="AI52" s="132">
        <v>0</v>
      </c>
      <c r="AJ52" s="132">
        <v>0</v>
      </c>
      <c r="AK52" s="132">
        <v>0</v>
      </c>
      <c r="AL52" s="132">
        <v>0</v>
      </c>
      <c r="AM52" s="132">
        <v>0</v>
      </c>
      <c r="AN52" s="132">
        <v>0</v>
      </c>
      <c r="AO52" s="132">
        <v>0</v>
      </c>
      <c r="AP52" s="132">
        <v>0</v>
      </c>
      <c r="AQ52" s="132">
        <v>0</v>
      </c>
      <c r="AR52" s="132">
        <v>0</v>
      </c>
      <c r="AS52" s="132">
        <v>33</v>
      </c>
      <c r="AT52" s="133">
        <v>7840</v>
      </c>
      <c r="AU52" s="132">
        <v>0</v>
      </c>
      <c r="AV52" s="132">
        <v>0</v>
      </c>
      <c r="AW52" s="132">
        <v>0</v>
      </c>
      <c r="AX52" s="132">
        <v>0</v>
      </c>
      <c r="AY52" s="132">
        <v>17</v>
      </c>
      <c r="AZ52" s="133">
        <v>4080</v>
      </c>
      <c r="BA52" s="132">
        <v>0</v>
      </c>
      <c r="BB52" s="132">
        <v>0</v>
      </c>
      <c r="BC52" s="132">
        <v>0</v>
      </c>
      <c r="BD52" s="132">
        <v>0</v>
      </c>
      <c r="BE52" s="132">
        <v>0</v>
      </c>
      <c r="BF52" s="132">
        <v>0</v>
      </c>
      <c r="BG52" s="132">
        <v>0</v>
      </c>
      <c r="BH52" s="132">
        <v>0</v>
      </c>
      <c r="BI52" s="132">
        <v>0</v>
      </c>
      <c r="BJ52" s="132">
        <v>0</v>
      </c>
      <c r="BK52" s="132">
        <v>0</v>
      </c>
      <c r="BL52" s="132">
        <v>0</v>
      </c>
      <c r="BM52" s="132">
        <v>0</v>
      </c>
      <c r="BN52" s="132">
        <v>0</v>
      </c>
      <c r="BO52" s="132">
        <v>0</v>
      </c>
      <c r="BP52" s="132">
        <v>0</v>
      </c>
      <c r="BQ52" s="132">
        <v>0</v>
      </c>
      <c r="BR52" s="134">
        <v>1493.2</v>
      </c>
      <c r="BS52" s="135">
        <v>19400</v>
      </c>
      <c r="BT52" s="84">
        <f t="shared" si="0"/>
        <v>0</v>
      </c>
      <c r="BU52" s="84">
        <f t="shared" si="1"/>
        <v>400</v>
      </c>
      <c r="BV52" s="84">
        <f t="shared" si="2"/>
        <v>6600</v>
      </c>
      <c r="BW52" s="84">
        <f t="shared" si="3"/>
        <v>7840</v>
      </c>
      <c r="BX52" s="84">
        <f t="shared" si="4"/>
        <v>4080</v>
      </c>
      <c r="BY52" s="84">
        <f t="shared" si="5"/>
        <v>0</v>
      </c>
      <c r="BZ52" s="84">
        <f t="shared" si="6"/>
        <v>480</v>
      </c>
      <c r="CA52" s="84">
        <f t="shared" si="7"/>
        <v>19400</v>
      </c>
      <c r="CB52" s="86">
        <f>ROUND(BR52,0)-1</f>
        <v>1492</v>
      </c>
      <c r="CC52" s="84">
        <f t="shared" si="9"/>
        <v>17908</v>
      </c>
      <c r="CD52" s="85">
        <f t="shared" si="10"/>
        <v>10745</v>
      </c>
      <c r="CF52" s="6" t="s">
        <v>405</v>
      </c>
      <c r="CG52" s="6" t="str">
        <f t="shared" si="11"/>
        <v>2026-01</v>
      </c>
      <c r="CH52" s="5" t="str">
        <f>_xlfn.XLOOKUP('컨텐츠별 매출 통계'!A52,KEY!$C$3:$C$1000,KEY!$B$3:$B$1000)</f>
        <v>감금구역레벨X</v>
      </c>
      <c r="CI52" s="5">
        <f t="shared" si="12"/>
        <v>10745</v>
      </c>
      <c r="CJ52" s="5">
        <v>0</v>
      </c>
      <c r="CK52" s="5">
        <f t="shared" si="13"/>
        <v>10745</v>
      </c>
      <c r="CL52" s="5"/>
      <c r="CM52" s="5"/>
      <c r="CN52" s="5">
        <f t="shared" si="14"/>
        <v>10745</v>
      </c>
      <c r="CO52" s="5">
        <f t="shared" si="15"/>
        <v>0</v>
      </c>
      <c r="CP52" s="5">
        <f t="shared" si="16"/>
        <v>10745</v>
      </c>
      <c r="CR52" s="45" t="str">
        <f t="shared" si="17"/>
        <v>2026-01월 국내유상이용권 브랜드정산_웹툰&lt;감금구역레벨X&gt;</v>
      </c>
      <c r="CS52" s="45" t="str">
        <f>_xlfn.XLOOKUP(CH52,KEY!$B$3:$B$1000,KEY!$E$3:$E$1000)</f>
        <v>경영관리실</v>
      </c>
      <c r="CT52" s="45" t="str">
        <f>_xlfn.XLOOKUP(CH52,KEY!$B$3:$B$1000,KEY!$F$3:$F$1000)</f>
        <v>감금구역레벨X</v>
      </c>
      <c r="CU52" s="2" t="s">
        <v>41</v>
      </c>
      <c r="CV52" s="33">
        <f t="shared" si="18"/>
        <v>10745</v>
      </c>
      <c r="CW52" s="46" t="str">
        <f>_xlfn.XLOOKUP(CS52,KEY!E:E,KEY!G:G)</f>
        <v>B1100</v>
      </c>
      <c r="CX52" s="46" t="str">
        <f>_xlfn.XLOOKUP(CT52,KEY!F:F,KEY!H:H)</f>
        <v>PN049</v>
      </c>
    </row>
    <row r="53" spans="1:102">
      <c r="A53" s="136" t="s">
        <v>149</v>
      </c>
      <c r="B53" s="130">
        <v>579185</v>
      </c>
      <c r="C53" s="131"/>
      <c r="D53" s="130" t="s">
        <v>385</v>
      </c>
      <c r="E53" s="130" t="s">
        <v>190</v>
      </c>
      <c r="F53" s="130" t="s">
        <v>165</v>
      </c>
      <c r="G53" s="132" t="s">
        <v>166</v>
      </c>
      <c r="H53" s="132" t="s">
        <v>386</v>
      </c>
      <c r="I53" s="132">
        <v>0</v>
      </c>
      <c r="J53" s="132">
        <v>0</v>
      </c>
      <c r="K53" s="132">
        <v>0</v>
      </c>
      <c r="L53" s="132">
        <v>0</v>
      </c>
      <c r="M53" s="132">
        <v>0</v>
      </c>
      <c r="N53" s="132">
        <v>0</v>
      </c>
      <c r="O53" s="132">
        <v>0</v>
      </c>
      <c r="P53" s="132">
        <v>0</v>
      </c>
      <c r="Q53" s="132">
        <v>0</v>
      </c>
      <c r="R53" s="132">
        <v>0</v>
      </c>
      <c r="S53" s="132">
        <v>0</v>
      </c>
      <c r="T53" s="132">
        <v>0</v>
      </c>
      <c r="U53" s="132">
        <v>0</v>
      </c>
      <c r="V53" s="132">
        <v>0</v>
      </c>
      <c r="W53" s="132">
        <v>0</v>
      </c>
      <c r="X53" s="132">
        <v>0</v>
      </c>
      <c r="Y53" s="132">
        <v>0</v>
      </c>
      <c r="Z53" s="132">
        <v>0</v>
      </c>
      <c r="AA53" s="132">
        <v>0</v>
      </c>
      <c r="AB53" s="132">
        <v>0</v>
      </c>
      <c r="AC53" s="132">
        <v>0</v>
      </c>
      <c r="AD53" s="132">
        <v>3</v>
      </c>
      <c r="AE53" s="132">
        <v>0</v>
      </c>
      <c r="AF53" s="132">
        <v>950</v>
      </c>
      <c r="AG53" s="132">
        <v>0</v>
      </c>
      <c r="AH53" s="132">
        <v>0</v>
      </c>
      <c r="AI53" s="132">
        <v>0</v>
      </c>
      <c r="AJ53" s="132">
        <v>0</v>
      </c>
      <c r="AK53" s="132">
        <v>0</v>
      </c>
      <c r="AL53" s="132">
        <v>0</v>
      </c>
      <c r="AM53" s="132">
        <v>0</v>
      </c>
      <c r="AN53" s="132">
        <v>0</v>
      </c>
      <c r="AO53" s="132">
        <v>0</v>
      </c>
      <c r="AP53" s="132">
        <v>28</v>
      </c>
      <c r="AQ53" s="133">
        <v>13700</v>
      </c>
      <c r="AR53" s="132">
        <v>200</v>
      </c>
      <c r="AS53" s="132">
        <v>0</v>
      </c>
      <c r="AT53" s="132">
        <v>0</v>
      </c>
      <c r="AU53" s="132">
        <v>0</v>
      </c>
      <c r="AV53" s="132">
        <v>0</v>
      </c>
      <c r="AW53" s="132">
        <v>0</v>
      </c>
      <c r="AX53" s="132">
        <v>0</v>
      </c>
      <c r="AY53" s="132">
        <v>0</v>
      </c>
      <c r="AZ53" s="132">
        <v>0</v>
      </c>
      <c r="BA53" s="132">
        <v>0</v>
      </c>
      <c r="BB53" s="132">
        <v>0</v>
      </c>
      <c r="BC53" s="132">
        <v>0</v>
      </c>
      <c r="BD53" s="132">
        <v>0</v>
      </c>
      <c r="BE53" s="132">
        <v>0</v>
      </c>
      <c r="BF53" s="132">
        <v>0</v>
      </c>
      <c r="BG53" s="132">
        <v>0</v>
      </c>
      <c r="BH53" s="132">
        <v>0</v>
      </c>
      <c r="BI53" s="132">
        <v>0</v>
      </c>
      <c r="BJ53" s="132">
        <v>0</v>
      </c>
      <c r="BK53" s="132">
        <v>0</v>
      </c>
      <c r="BL53" s="132">
        <v>0</v>
      </c>
      <c r="BM53" s="132">
        <v>0</v>
      </c>
      <c r="BN53" s="132">
        <v>0</v>
      </c>
      <c r="BO53" s="132">
        <v>0</v>
      </c>
      <c r="BP53" s="132">
        <v>0</v>
      </c>
      <c r="BQ53" s="132">
        <v>0</v>
      </c>
      <c r="BR53" s="132">
        <v>411</v>
      </c>
      <c r="BS53" s="135">
        <v>14850</v>
      </c>
      <c r="BT53" s="84">
        <f t="shared" si="0"/>
        <v>0</v>
      </c>
      <c r="BU53" s="84">
        <f t="shared" si="1"/>
        <v>1150</v>
      </c>
      <c r="BV53" s="84">
        <f t="shared" si="2"/>
        <v>13700</v>
      </c>
      <c r="BW53" s="84">
        <f t="shared" si="3"/>
        <v>0</v>
      </c>
      <c r="BX53" s="84">
        <f t="shared" si="4"/>
        <v>0</v>
      </c>
      <c r="BY53" s="84">
        <f t="shared" si="5"/>
        <v>0</v>
      </c>
      <c r="BZ53" s="84">
        <f t="shared" si="6"/>
        <v>0</v>
      </c>
      <c r="CA53" s="84">
        <f t="shared" si="7"/>
        <v>14850</v>
      </c>
      <c r="CB53" s="86">
        <f>ROUND(BR53,0)-1</f>
        <v>410</v>
      </c>
      <c r="CC53" s="84">
        <f t="shared" si="9"/>
        <v>14440</v>
      </c>
      <c r="CD53" s="85">
        <f t="shared" si="10"/>
        <v>8664</v>
      </c>
      <c r="CF53" s="6" t="s">
        <v>405</v>
      </c>
      <c r="CG53" s="6" t="str">
        <f t="shared" si="11"/>
        <v>2026-01</v>
      </c>
      <c r="CH53" s="5" t="str">
        <f>_xlfn.XLOOKUP('컨텐츠별 매출 통계'!A53,KEY!$C$3:$C$1000,KEY!$B$3:$B$1000)</f>
        <v>건곤불이기</v>
      </c>
      <c r="CI53" s="5">
        <f t="shared" si="12"/>
        <v>8664</v>
      </c>
      <c r="CJ53" s="5">
        <v>0</v>
      </c>
      <c r="CK53" s="5">
        <f t="shared" si="13"/>
        <v>8664</v>
      </c>
      <c r="CL53" s="5"/>
      <c r="CM53" s="5"/>
      <c r="CN53" s="5">
        <f t="shared" si="14"/>
        <v>8664</v>
      </c>
      <c r="CO53" s="5">
        <f t="shared" si="15"/>
        <v>0</v>
      </c>
      <c r="CP53" s="5">
        <f t="shared" si="16"/>
        <v>8664</v>
      </c>
      <c r="CR53" s="45" t="str">
        <f t="shared" si="17"/>
        <v>2026-01월 국내유상이용권 브랜드정산_웹툰&lt;건곤불이기&gt;</v>
      </c>
      <c r="CS53" s="45" t="str">
        <f>_xlfn.XLOOKUP(CH53,KEY!$B$3:$B$1000,KEY!$E$3:$E$1000)</f>
        <v>전략기획팀</v>
      </c>
      <c r="CT53" s="45" t="str">
        <f>_xlfn.XLOOKUP(CH53,KEY!$B$3:$B$1000,KEY!$F$3:$F$1000)</f>
        <v>건곤불이기</v>
      </c>
      <c r="CU53" s="2" t="s">
        <v>41</v>
      </c>
      <c r="CV53" s="33">
        <f t="shared" si="18"/>
        <v>8664</v>
      </c>
      <c r="CW53" s="46" t="str">
        <f>_xlfn.XLOOKUP(CS53,KEY!E:E,KEY!G:G)</f>
        <v>B1200</v>
      </c>
      <c r="CX53" s="46" t="str">
        <f>_xlfn.XLOOKUP(CT53,KEY!F:F,KEY!H:H)</f>
        <v>P0N79</v>
      </c>
    </row>
    <row r="54" spans="1:102">
      <c r="A54" s="136" t="s">
        <v>121</v>
      </c>
      <c r="B54" s="130">
        <v>488685</v>
      </c>
      <c r="C54" s="131"/>
      <c r="D54" s="130" t="s">
        <v>385</v>
      </c>
      <c r="E54" s="130" t="s">
        <v>244</v>
      </c>
      <c r="F54" s="130" t="s">
        <v>165</v>
      </c>
      <c r="G54" s="132" t="s">
        <v>166</v>
      </c>
      <c r="H54" s="132" t="s">
        <v>391</v>
      </c>
      <c r="I54" s="132">
        <v>0</v>
      </c>
      <c r="J54" s="132">
        <v>0</v>
      </c>
      <c r="K54" s="132">
        <v>0</v>
      </c>
      <c r="L54" s="132">
        <v>0</v>
      </c>
      <c r="M54" s="132">
        <v>0</v>
      </c>
      <c r="N54" s="132">
        <v>0</v>
      </c>
      <c r="O54" s="132">
        <v>0</v>
      </c>
      <c r="P54" s="132">
        <v>0</v>
      </c>
      <c r="Q54" s="132">
        <v>0</v>
      </c>
      <c r="R54" s="132">
        <v>0</v>
      </c>
      <c r="S54" s="132">
        <v>0</v>
      </c>
      <c r="T54" s="132">
        <v>0</v>
      </c>
      <c r="U54" s="132">
        <v>0</v>
      </c>
      <c r="V54" s="132">
        <v>0</v>
      </c>
      <c r="W54" s="132">
        <v>0</v>
      </c>
      <c r="X54" s="132">
        <v>0</v>
      </c>
      <c r="Y54" s="132">
        <v>0</v>
      </c>
      <c r="Z54" s="132">
        <v>0</v>
      </c>
      <c r="AA54" s="132">
        <v>0</v>
      </c>
      <c r="AB54" s="132">
        <v>0</v>
      </c>
      <c r="AC54" s="132">
        <v>0</v>
      </c>
      <c r="AD54" s="132">
        <v>5</v>
      </c>
      <c r="AE54" s="132">
        <v>300</v>
      </c>
      <c r="AF54" s="133">
        <v>1190</v>
      </c>
      <c r="AG54" s="132">
        <v>0</v>
      </c>
      <c r="AH54" s="132">
        <v>0</v>
      </c>
      <c r="AI54" s="132">
        <v>0</v>
      </c>
      <c r="AJ54" s="132">
        <v>0</v>
      </c>
      <c r="AK54" s="132">
        <v>0</v>
      </c>
      <c r="AL54" s="132">
        <v>0</v>
      </c>
      <c r="AM54" s="132">
        <v>0</v>
      </c>
      <c r="AN54" s="132">
        <v>0</v>
      </c>
      <c r="AO54" s="132">
        <v>0</v>
      </c>
      <c r="AP54" s="132">
        <v>1</v>
      </c>
      <c r="AQ54" s="132">
        <v>300</v>
      </c>
      <c r="AR54" s="132">
        <v>0</v>
      </c>
      <c r="AS54" s="132">
        <v>0</v>
      </c>
      <c r="AT54" s="132">
        <v>0</v>
      </c>
      <c r="AU54" s="132">
        <v>0</v>
      </c>
      <c r="AV54" s="132">
        <v>0</v>
      </c>
      <c r="AW54" s="132">
        <v>0</v>
      </c>
      <c r="AX54" s="132">
        <v>0</v>
      </c>
      <c r="AY54" s="132">
        <v>0</v>
      </c>
      <c r="AZ54" s="132">
        <v>0</v>
      </c>
      <c r="BA54" s="132">
        <v>0</v>
      </c>
      <c r="BB54" s="132">
        <v>0</v>
      </c>
      <c r="BC54" s="132">
        <v>0</v>
      </c>
      <c r="BD54" s="132">
        <v>0</v>
      </c>
      <c r="BE54" s="132">
        <v>0</v>
      </c>
      <c r="BF54" s="132">
        <v>0</v>
      </c>
      <c r="BG54" s="132">
        <v>0</v>
      </c>
      <c r="BH54" s="132">
        <v>0</v>
      </c>
      <c r="BI54" s="132">
        <v>0</v>
      </c>
      <c r="BJ54" s="132">
        <v>0</v>
      </c>
      <c r="BK54" s="132">
        <v>0</v>
      </c>
      <c r="BL54" s="132">
        <v>0</v>
      </c>
      <c r="BM54" s="132">
        <v>0</v>
      </c>
      <c r="BN54" s="132">
        <v>0</v>
      </c>
      <c r="BO54" s="132">
        <v>0</v>
      </c>
      <c r="BP54" s="132">
        <v>0</v>
      </c>
      <c r="BQ54" s="132">
        <v>0</v>
      </c>
      <c r="BR54" s="132">
        <v>18</v>
      </c>
      <c r="BS54" s="135">
        <v>1790</v>
      </c>
      <c r="BT54" s="84">
        <f t="shared" si="0"/>
        <v>0</v>
      </c>
      <c r="BU54" s="84">
        <f t="shared" si="1"/>
        <v>1190</v>
      </c>
      <c r="BV54" s="84">
        <f t="shared" si="2"/>
        <v>600</v>
      </c>
      <c r="BW54" s="84">
        <f t="shared" si="3"/>
        <v>0</v>
      </c>
      <c r="BX54" s="84">
        <f t="shared" si="4"/>
        <v>0</v>
      </c>
      <c r="BY54" s="84">
        <f t="shared" si="5"/>
        <v>0</v>
      </c>
      <c r="BZ54" s="84">
        <f t="shared" si="6"/>
        <v>0</v>
      </c>
      <c r="CA54" s="84">
        <f t="shared" si="7"/>
        <v>1790</v>
      </c>
      <c r="CB54" s="86">
        <f>ROUND(BR54,0)-1</f>
        <v>17</v>
      </c>
      <c r="CC54" s="84">
        <f t="shared" si="9"/>
        <v>1773</v>
      </c>
      <c r="CD54" s="85">
        <f t="shared" si="10"/>
        <v>1064</v>
      </c>
      <c r="CF54" s="6" t="s">
        <v>405</v>
      </c>
      <c r="CG54" s="6" t="str">
        <f t="shared" si="11"/>
        <v>2026-01</v>
      </c>
      <c r="CH54" s="5" t="str">
        <f>_xlfn.XLOOKUP('컨텐츠별 매출 통계'!A54,KEY!$C$3:$C$1000,KEY!$B$3:$B$1000)</f>
        <v>보스였음</v>
      </c>
      <c r="CI54" s="5">
        <f t="shared" si="12"/>
        <v>1064</v>
      </c>
      <c r="CJ54" s="5">
        <v>0</v>
      </c>
      <c r="CK54" s="5">
        <f t="shared" si="13"/>
        <v>1064</v>
      </c>
      <c r="CL54" s="5"/>
      <c r="CM54" s="5"/>
      <c r="CN54" s="5">
        <f t="shared" si="14"/>
        <v>1064</v>
      </c>
      <c r="CO54" s="5">
        <f t="shared" si="15"/>
        <v>0</v>
      </c>
      <c r="CP54" s="5">
        <f t="shared" si="16"/>
        <v>1064</v>
      </c>
      <c r="CR54" s="45" t="str">
        <f t="shared" si="17"/>
        <v>2026-01월 국내유상이용권 브랜드정산_웹툰&lt;보스였음&gt;</v>
      </c>
      <c r="CS54" s="45" t="str">
        <f>_xlfn.XLOOKUP(CH54,KEY!$B$3:$B$1000,KEY!$E$3:$E$1000)</f>
        <v>전략기획팀</v>
      </c>
      <c r="CT54" s="45" t="str">
        <f>_xlfn.XLOOKUP(CH54,KEY!$B$3:$B$1000,KEY!$F$3:$F$1000)</f>
        <v>보스였음</v>
      </c>
      <c r="CU54" s="2" t="s">
        <v>41</v>
      </c>
      <c r="CV54" s="33">
        <f t="shared" si="18"/>
        <v>1064</v>
      </c>
      <c r="CW54" s="46" t="str">
        <f>_xlfn.XLOOKUP(CS54,KEY!E:E,KEY!G:G)</f>
        <v>B1200</v>
      </c>
      <c r="CX54" s="46" t="str">
        <f>_xlfn.XLOOKUP(CT54,KEY!F:F,KEY!H:H)</f>
        <v>PN015</v>
      </c>
    </row>
    <row r="55" spans="1:102">
      <c r="A55" s="136" t="s">
        <v>154</v>
      </c>
      <c r="B55" s="130">
        <v>590134</v>
      </c>
      <c r="C55" s="131"/>
      <c r="D55" s="130" t="s">
        <v>385</v>
      </c>
      <c r="E55" s="130" t="s">
        <v>192</v>
      </c>
      <c r="F55" s="130" t="s">
        <v>165</v>
      </c>
      <c r="G55" s="132" t="s">
        <v>166</v>
      </c>
      <c r="H55" s="132" t="s">
        <v>392</v>
      </c>
      <c r="I55" s="132">
        <v>0</v>
      </c>
      <c r="J55" s="132">
        <v>0</v>
      </c>
      <c r="K55" s="132">
        <v>0</v>
      </c>
      <c r="L55" s="132">
        <v>0</v>
      </c>
      <c r="M55" s="132">
        <v>0</v>
      </c>
      <c r="N55" s="132">
        <v>0</v>
      </c>
      <c r="O55" s="132">
        <v>0</v>
      </c>
      <c r="P55" s="132">
        <v>0</v>
      </c>
      <c r="Q55" s="132">
        <v>0</v>
      </c>
      <c r="R55" s="132">
        <v>0</v>
      </c>
      <c r="S55" s="132">
        <v>0</v>
      </c>
      <c r="T55" s="132">
        <v>0</v>
      </c>
      <c r="U55" s="132">
        <v>0</v>
      </c>
      <c r="V55" s="132">
        <v>0</v>
      </c>
      <c r="W55" s="132">
        <v>0</v>
      </c>
      <c r="X55" s="132">
        <v>0</v>
      </c>
      <c r="Y55" s="132">
        <v>0</v>
      </c>
      <c r="Z55" s="132">
        <v>0</v>
      </c>
      <c r="AA55" s="132">
        <v>0</v>
      </c>
      <c r="AB55" s="132">
        <v>0</v>
      </c>
      <c r="AC55" s="132">
        <v>0</v>
      </c>
      <c r="AD55" s="132">
        <v>0</v>
      </c>
      <c r="AE55" s="132">
        <v>0</v>
      </c>
      <c r="AF55" s="132">
        <v>0</v>
      </c>
      <c r="AG55" s="132">
        <v>0</v>
      </c>
      <c r="AH55" s="132">
        <v>0</v>
      </c>
      <c r="AI55" s="132">
        <v>0</v>
      </c>
      <c r="AJ55" s="132">
        <v>3</v>
      </c>
      <c r="AK55" s="132">
        <v>0</v>
      </c>
      <c r="AL55" s="133">
        <v>1200</v>
      </c>
      <c r="AM55" s="132">
        <v>0</v>
      </c>
      <c r="AN55" s="132">
        <v>0</v>
      </c>
      <c r="AO55" s="132">
        <v>0</v>
      </c>
      <c r="AP55" s="132">
        <v>0</v>
      </c>
      <c r="AQ55" s="132">
        <v>0</v>
      </c>
      <c r="AR55" s="132">
        <v>0</v>
      </c>
      <c r="AS55" s="132">
        <v>0</v>
      </c>
      <c r="AT55" s="132">
        <v>0</v>
      </c>
      <c r="AU55" s="132">
        <v>0</v>
      </c>
      <c r="AV55" s="132">
        <v>0</v>
      </c>
      <c r="AW55" s="132">
        <v>0</v>
      </c>
      <c r="AX55" s="132">
        <v>0</v>
      </c>
      <c r="AY55" s="132">
        <v>0</v>
      </c>
      <c r="AZ55" s="132">
        <v>0</v>
      </c>
      <c r="BA55" s="132">
        <v>0</v>
      </c>
      <c r="BB55" s="132">
        <v>0</v>
      </c>
      <c r="BC55" s="132">
        <v>0</v>
      </c>
      <c r="BD55" s="132">
        <v>0</v>
      </c>
      <c r="BE55" s="132">
        <v>0</v>
      </c>
      <c r="BF55" s="132">
        <v>0</v>
      </c>
      <c r="BG55" s="132">
        <v>0</v>
      </c>
      <c r="BH55" s="132">
        <v>0</v>
      </c>
      <c r="BI55" s="132">
        <v>0</v>
      </c>
      <c r="BJ55" s="132">
        <v>0</v>
      </c>
      <c r="BK55" s="132">
        <v>0</v>
      </c>
      <c r="BL55" s="132">
        <v>0</v>
      </c>
      <c r="BM55" s="132">
        <v>0</v>
      </c>
      <c r="BN55" s="132">
        <v>0</v>
      </c>
      <c r="BO55" s="132">
        <v>0</v>
      </c>
      <c r="BP55" s="132">
        <v>0</v>
      </c>
      <c r="BQ55" s="132">
        <v>0</v>
      </c>
      <c r="BR55" s="132">
        <v>0</v>
      </c>
      <c r="BS55" s="135">
        <v>1200</v>
      </c>
      <c r="BT55" s="84">
        <f t="shared" si="0"/>
        <v>0</v>
      </c>
      <c r="BU55" s="84">
        <f t="shared" si="1"/>
        <v>1200</v>
      </c>
      <c r="BV55" s="84">
        <f t="shared" si="2"/>
        <v>0</v>
      </c>
      <c r="BW55" s="84">
        <f t="shared" si="3"/>
        <v>0</v>
      </c>
      <c r="BX55" s="84">
        <f t="shared" si="4"/>
        <v>0</v>
      </c>
      <c r="BY55" s="84">
        <f t="shared" si="5"/>
        <v>0</v>
      </c>
      <c r="BZ55" s="84">
        <f t="shared" si="6"/>
        <v>0</v>
      </c>
      <c r="CA55" s="84">
        <f t="shared" si="7"/>
        <v>1200</v>
      </c>
      <c r="CB55" s="84">
        <f t="shared" si="8"/>
        <v>0</v>
      </c>
      <c r="CC55" s="84">
        <f t="shared" si="9"/>
        <v>1200</v>
      </c>
      <c r="CD55" s="85">
        <f t="shared" si="10"/>
        <v>720</v>
      </c>
      <c r="CF55" s="6" t="s">
        <v>405</v>
      </c>
      <c r="CG55" s="6" t="str">
        <f t="shared" si="11"/>
        <v>2026-01</v>
      </c>
      <c r="CH55" s="5" t="str">
        <f>_xlfn.XLOOKUP('컨텐츠별 매출 통계'!A55,KEY!$C$3:$C$1000,KEY!$B$3:$B$1000)</f>
        <v>하이클래스</v>
      </c>
      <c r="CI55" s="5">
        <f t="shared" si="12"/>
        <v>720</v>
      </c>
      <c r="CJ55" s="5">
        <v>0</v>
      </c>
      <c r="CK55" s="5">
        <f t="shared" si="13"/>
        <v>720</v>
      </c>
      <c r="CL55" s="5"/>
      <c r="CM55" s="5"/>
      <c r="CN55" s="5">
        <f t="shared" si="14"/>
        <v>720</v>
      </c>
      <c r="CO55" s="5">
        <f t="shared" si="15"/>
        <v>0</v>
      </c>
      <c r="CP55" s="5">
        <f t="shared" si="16"/>
        <v>720</v>
      </c>
      <c r="CR55" s="45" t="str">
        <f t="shared" si="17"/>
        <v>2026-01월 국내유상이용권 브랜드정산_웹툰&lt;하이클래스&gt;</v>
      </c>
      <c r="CS55" s="45" t="str">
        <f>_xlfn.XLOOKUP(CH55,KEY!$B$3:$B$1000,KEY!$E$3:$E$1000)</f>
        <v>팀 MAJOR_메이저</v>
      </c>
      <c r="CT55" s="45" t="str">
        <f>_xlfn.XLOOKUP(CH55,KEY!$B$3:$B$1000,KEY!$F$3:$F$1000)</f>
        <v>하이클래스</v>
      </c>
      <c r="CU55" s="2" t="s">
        <v>41</v>
      </c>
      <c r="CV55" s="33">
        <f t="shared" si="18"/>
        <v>720</v>
      </c>
      <c r="CW55" s="46" t="str">
        <f>_xlfn.XLOOKUP(CS55,KEY!E:E,KEY!G:G)</f>
        <v>W1700</v>
      </c>
      <c r="CX55" s="46" t="str">
        <f>_xlfn.XLOOKUP(CT55,KEY!F:F,KEY!H:H)</f>
        <v>PN042</v>
      </c>
    </row>
    <row r="56" spans="1:102"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5"/>
      <c r="CF56" s="6"/>
      <c r="CG56" s="6"/>
      <c r="CH56" s="5"/>
      <c r="CI56" s="5"/>
      <c r="CJ56" s="5"/>
      <c r="CK56" s="5"/>
      <c r="CL56" s="5"/>
      <c r="CM56" s="5"/>
      <c r="CN56" s="5"/>
      <c r="CO56" s="5"/>
      <c r="CP56" s="5"/>
      <c r="CU56" s="2"/>
      <c r="CV56" s="33"/>
    </row>
    <row r="57" spans="1:102"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5"/>
      <c r="CF57" s="6"/>
      <c r="CG57" s="6"/>
      <c r="CH57" s="5"/>
      <c r="CI57" s="5"/>
      <c r="CJ57" s="5"/>
      <c r="CK57" s="5"/>
      <c r="CL57" s="5"/>
      <c r="CM57" s="5"/>
      <c r="CN57" s="5"/>
      <c r="CO57" s="5"/>
      <c r="CP57" s="5"/>
      <c r="CU57" s="2"/>
      <c r="CV57" s="33"/>
    </row>
  </sheetData>
  <autoFilter ref="A6:CX55" xr:uid="{70ECDD78-3B75-4FDF-B020-A0D761B9C4B7}"/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/>
  <cols>
    <col min="1" max="1" width="5.5" customWidth="1"/>
    <col min="2" max="3" width="10.5" customWidth="1"/>
    <col min="4" max="6" width="12.125" customWidth="1"/>
    <col min="7" max="7" width="35" customWidth="1"/>
  </cols>
  <sheetData>
    <row r="3" spans="2:7">
      <c r="B3" s="129" t="s">
        <v>85</v>
      </c>
      <c r="C3" s="129"/>
      <c r="D3" s="129"/>
      <c r="E3" s="129"/>
      <c r="F3" s="129"/>
      <c r="G3" s="129"/>
    </row>
    <row r="4" spans="2:7">
      <c r="B4" s="24" t="s">
        <v>86</v>
      </c>
      <c r="C4" s="24" t="s">
        <v>87</v>
      </c>
      <c r="D4" s="24" t="s">
        <v>88</v>
      </c>
      <c r="E4" s="24" t="s">
        <v>91</v>
      </c>
      <c r="F4" s="24" t="s">
        <v>93</v>
      </c>
      <c r="G4" s="24" t="s">
        <v>89</v>
      </c>
    </row>
    <row r="5" spans="2:7">
      <c r="B5" s="34" t="s">
        <v>97</v>
      </c>
      <c r="C5" s="34" t="s">
        <v>98</v>
      </c>
      <c r="D5" s="35" t="s">
        <v>90</v>
      </c>
      <c r="E5" s="34" t="s">
        <v>92</v>
      </c>
      <c r="F5" s="34" t="s">
        <v>389</v>
      </c>
      <c r="G5" s="34" t="s">
        <v>390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9A56-1BCF-4912-AF2E-0B4742817513}">
  <dimension ref="A1:H248"/>
  <sheetViews>
    <sheetView showGridLines="0" zoomScale="90" zoomScaleNormal="90" workbookViewId="0">
      <pane ySplit="3" topLeftCell="A34" activePane="bottomLeft" state="frozen"/>
      <selection pane="bottomLeft" activeCell="F69" sqref="F69"/>
    </sheetView>
  </sheetViews>
  <sheetFormatPr defaultRowHeight="16.899999999999999"/>
  <cols>
    <col min="1" max="1" width="3.75" bestFit="1" customWidth="1"/>
    <col min="2" max="2" width="17.375" bestFit="1" customWidth="1"/>
    <col min="3" max="3" width="19" bestFit="1" customWidth="1"/>
    <col min="4" max="4" width="17.375" bestFit="1" customWidth="1"/>
    <col min="5" max="5" width="13.5" bestFit="1" customWidth="1"/>
    <col min="6" max="6" width="24.375" bestFit="1" customWidth="1"/>
  </cols>
  <sheetData>
    <row r="1" spans="1:8">
      <c r="A1" s="2"/>
      <c r="B1" s="36"/>
      <c r="C1" s="36"/>
      <c r="D1" s="36"/>
      <c r="E1" s="36"/>
    </row>
    <row r="2" spans="1:8">
      <c r="A2" s="2"/>
      <c r="B2" s="2"/>
      <c r="C2" s="37">
        <f>COUNTA(C4:C999)</f>
        <v>61</v>
      </c>
      <c r="D2" s="36"/>
      <c r="E2" s="36"/>
    </row>
    <row r="3" spans="1:8">
      <c r="A3" s="38" t="s">
        <v>99</v>
      </c>
      <c r="B3" s="38" t="s">
        <v>52</v>
      </c>
      <c r="C3" s="39" t="s">
        <v>100</v>
      </c>
      <c r="D3" s="38" t="s">
        <v>101</v>
      </c>
      <c r="E3" s="38" t="s">
        <v>225</v>
      </c>
      <c r="F3" s="38" t="s">
        <v>45</v>
      </c>
      <c r="G3" s="38" t="s">
        <v>328</v>
      </c>
      <c r="H3" s="38" t="s">
        <v>329</v>
      </c>
    </row>
    <row r="4" spans="1:8">
      <c r="A4" s="40">
        <v>1</v>
      </c>
      <c r="B4" s="41" t="s">
        <v>94</v>
      </c>
      <c r="C4" s="42" t="s">
        <v>95</v>
      </c>
      <c r="D4" s="42" t="s">
        <v>94</v>
      </c>
      <c r="E4" s="42" t="s">
        <v>40</v>
      </c>
      <c r="F4" s="42" t="s">
        <v>94</v>
      </c>
      <c r="G4" s="42" t="s">
        <v>39</v>
      </c>
      <c r="H4" s="42" t="s">
        <v>330</v>
      </c>
    </row>
    <row r="5" spans="1:8">
      <c r="A5" s="40">
        <v>2</v>
      </c>
      <c r="B5" s="41" t="s">
        <v>102</v>
      </c>
      <c r="C5" s="42" t="s">
        <v>102</v>
      </c>
      <c r="D5" s="42" t="s">
        <v>102</v>
      </c>
      <c r="E5" s="42" t="s">
        <v>40</v>
      </c>
      <c r="F5" s="42" t="s">
        <v>102</v>
      </c>
      <c r="G5" s="42" t="s">
        <v>39</v>
      </c>
      <c r="H5" s="42" t="s">
        <v>331</v>
      </c>
    </row>
    <row r="6" spans="1:8">
      <c r="A6" s="40">
        <v>3</v>
      </c>
      <c r="B6" s="41" t="s">
        <v>103</v>
      </c>
      <c r="C6" s="42" t="s">
        <v>103</v>
      </c>
      <c r="D6" s="42" t="s">
        <v>103</v>
      </c>
      <c r="E6" s="42" t="s">
        <v>40</v>
      </c>
      <c r="F6" s="42" t="s">
        <v>103</v>
      </c>
      <c r="G6" s="42" t="s">
        <v>39</v>
      </c>
      <c r="H6" s="42" t="s">
        <v>332</v>
      </c>
    </row>
    <row r="7" spans="1:8">
      <c r="A7" s="40">
        <v>4</v>
      </c>
      <c r="B7" s="41" t="s">
        <v>104</v>
      </c>
      <c r="C7" s="42" t="s">
        <v>104</v>
      </c>
      <c r="D7" s="42" t="s">
        <v>104</v>
      </c>
      <c r="E7" s="42" t="s">
        <v>40</v>
      </c>
      <c r="F7" s="42" t="s">
        <v>104</v>
      </c>
      <c r="G7" s="42" t="s">
        <v>39</v>
      </c>
      <c r="H7" s="42" t="s">
        <v>253</v>
      </c>
    </row>
    <row r="8" spans="1:8">
      <c r="A8" s="40">
        <v>5</v>
      </c>
      <c r="B8" s="41" t="s">
        <v>105</v>
      </c>
      <c r="C8" s="42" t="s">
        <v>105</v>
      </c>
      <c r="D8" s="42" t="s">
        <v>105</v>
      </c>
      <c r="E8" s="42" t="s">
        <v>226</v>
      </c>
      <c r="F8" s="42" t="s">
        <v>105</v>
      </c>
      <c r="G8" s="42" t="s">
        <v>254</v>
      </c>
      <c r="H8" s="42" t="s">
        <v>255</v>
      </c>
    </row>
    <row r="9" spans="1:8">
      <c r="A9" s="40">
        <v>6</v>
      </c>
      <c r="B9" s="41" t="s">
        <v>242</v>
      </c>
      <c r="C9" s="40" t="s">
        <v>106</v>
      </c>
      <c r="D9" s="42" t="s">
        <v>106</v>
      </c>
      <c r="E9" s="42" t="s">
        <v>226</v>
      </c>
      <c r="F9" s="42" t="s">
        <v>241</v>
      </c>
      <c r="G9" s="42" t="s">
        <v>254</v>
      </c>
      <c r="H9" s="42" t="s">
        <v>256</v>
      </c>
    </row>
    <row r="10" spans="1:8">
      <c r="A10" s="40">
        <v>7</v>
      </c>
      <c r="B10" s="41" t="s">
        <v>107</v>
      </c>
      <c r="C10" s="42" t="s">
        <v>107</v>
      </c>
      <c r="D10" s="42" t="s">
        <v>107</v>
      </c>
      <c r="E10" s="42" t="s">
        <v>227</v>
      </c>
      <c r="F10" s="42" t="s">
        <v>107</v>
      </c>
      <c r="G10" s="42" t="s">
        <v>257</v>
      </c>
      <c r="H10" s="42" t="s">
        <v>258</v>
      </c>
    </row>
    <row r="11" spans="1:8">
      <c r="A11" s="40">
        <v>8</v>
      </c>
      <c r="B11" s="41" t="s">
        <v>108</v>
      </c>
      <c r="C11" s="42" t="s">
        <v>108</v>
      </c>
      <c r="D11" s="42" t="s">
        <v>108</v>
      </c>
      <c r="E11" s="42" t="s">
        <v>228</v>
      </c>
      <c r="F11" s="42" t="s">
        <v>108</v>
      </c>
      <c r="G11" s="42" t="s">
        <v>259</v>
      </c>
      <c r="H11" s="42" t="s">
        <v>260</v>
      </c>
    </row>
    <row r="12" spans="1:8">
      <c r="A12" s="40">
        <v>9</v>
      </c>
      <c r="B12" s="41" t="s">
        <v>109</v>
      </c>
      <c r="C12" s="42" t="s">
        <v>110</v>
      </c>
      <c r="D12" s="42" t="s">
        <v>109</v>
      </c>
      <c r="E12" s="42" t="s">
        <v>40</v>
      </c>
      <c r="F12" s="42" t="s">
        <v>109</v>
      </c>
      <c r="G12" s="42" t="s">
        <v>39</v>
      </c>
      <c r="H12" s="42" t="s">
        <v>333</v>
      </c>
    </row>
    <row r="13" spans="1:8">
      <c r="A13" s="40">
        <v>10</v>
      </c>
      <c r="B13" s="41" t="s">
        <v>111</v>
      </c>
      <c r="C13" s="42" t="s">
        <v>111</v>
      </c>
      <c r="D13" s="42" t="s">
        <v>111</v>
      </c>
      <c r="E13" s="42" t="s">
        <v>226</v>
      </c>
      <c r="F13" s="42" t="s">
        <v>111</v>
      </c>
      <c r="G13" s="42" t="s">
        <v>254</v>
      </c>
      <c r="H13" s="42" t="s">
        <v>261</v>
      </c>
    </row>
    <row r="14" spans="1:8">
      <c r="A14" s="40">
        <v>11</v>
      </c>
      <c r="B14" s="41" t="s">
        <v>112</v>
      </c>
      <c r="C14" s="42" t="s">
        <v>113</v>
      </c>
      <c r="D14" s="42" t="s">
        <v>112</v>
      </c>
      <c r="E14" s="42" t="s">
        <v>228</v>
      </c>
      <c r="F14" s="42" t="s">
        <v>112</v>
      </c>
      <c r="G14" s="42" t="s">
        <v>259</v>
      </c>
      <c r="H14" s="42" t="s">
        <v>262</v>
      </c>
    </row>
    <row r="15" spans="1:8">
      <c r="A15" s="40">
        <v>12</v>
      </c>
      <c r="B15" s="41" t="s">
        <v>114</v>
      </c>
      <c r="C15" s="42" t="s">
        <v>114</v>
      </c>
      <c r="D15" s="42" t="s">
        <v>114</v>
      </c>
      <c r="E15" s="42" t="s">
        <v>224</v>
      </c>
      <c r="F15" s="42" t="s">
        <v>114</v>
      </c>
      <c r="G15" s="42" t="s">
        <v>263</v>
      </c>
      <c r="H15" s="42" t="s">
        <v>264</v>
      </c>
    </row>
    <row r="16" spans="1:8">
      <c r="A16" s="40">
        <v>13</v>
      </c>
      <c r="B16" s="41" t="s">
        <v>115</v>
      </c>
      <c r="C16" s="40" t="s">
        <v>208</v>
      </c>
      <c r="D16" s="42" t="s">
        <v>115</v>
      </c>
      <c r="E16" s="42" t="s">
        <v>228</v>
      </c>
      <c r="F16" s="42" t="s">
        <v>115</v>
      </c>
      <c r="G16" s="42" t="s">
        <v>259</v>
      </c>
      <c r="H16" s="42" t="s">
        <v>265</v>
      </c>
    </row>
    <row r="17" spans="1:8">
      <c r="A17" s="40">
        <v>14</v>
      </c>
      <c r="B17" s="41" t="s">
        <v>116</v>
      </c>
      <c r="C17" s="42" t="s">
        <v>117</v>
      </c>
      <c r="D17" s="42" t="s">
        <v>116</v>
      </c>
      <c r="E17" s="42" t="s">
        <v>228</v>
      </c>
      <c r="F17" s="42" t="s">
        <v>116</v>
      </c>
      <c r="G17" s="42" t="s">
        <v>259</v>
      </c>
      <c r="H17" s="42" t="s">
        <v>266</v>
      </c>
    </row>
    <row r="18" spans="1:8">
      <c r="A18" s="40">
        <v>15</v>
      </c>
      <c r="B18" s="41" t="s">
        <v>118</v>
      </c>
      <c r="C18" s="42" t="s">
        <v>119</v>
      </c>
      <c r="D18" s="42" t="s">
        <v>118</v>
      </c>
      <c r="E18" s="42" t="s">
        <v>226</v>
      </c>
      <c r="F18" s="42" t="s">
        <v>118</v>
      </c>
      <c r="G18" s="42" t="s">
        <v>254</v>
      </c>
      <c r="H18" s="42" t="s">
        <v>267</v>
      </c>
    </row>
    <row r="19" spans="1:8">
      <c r="A19" s="40">
        <v>16</v>
      </c>
      <c r="B19" s="41" t="s">
        <v>120</v>
      </c>
      <c r="C19" s="42" t="s">
        <v>120</v>
      </c>
      <c r="D19" s="42" t="s">
        <v>120</v>
      </c>
      <c r="E19" s="42" t="s">
        <v>228</v>
      </c>
      <c r="F19" s="42" t="s">
        <v>120</v>
      </c>
      <c r="G19" s="42" t="s">
        <v>259</v>
      </c>
      <c r="H19" s="42" t="s">
        <v>268</v>
      </c>
    </row>
    <row r="20" spans="1:8">
      <c r="A20" s="40">
        <v>17</v>
      </c>
      <c r="B20" s="41" t="s">
        <v>121</v>
      </c>
      <c r="C20" s="42" t="s">
        <v>121</v>
      </c>
      <c r="D20" s="42" t="s">
        <v>121</v>
      </c>
      <c r="E20" s="42" t="s">
        <v>228</v>
      </c>
      <c r="F20" s="42" t="s">
        <v>121</v>
      </c>
      <c r="G20" s="42" t="s">
        <v>259</v>
      </c>
      <c r="H20" s="42" t="s">
        <v>303</v>
      </c>
    </row>
    <row r="21" spans="1:8">
      <c r="A21" s="40">
        <v>18</v>
      </c>
      <c r="B21" s="41" t="s">
        <v>122</v>
      </c>
      <c r="C21" s="40" t="s">
        <v>122</v>
      </c>
      <c r="D21" s="42" t="s">
        <v>122</v>
      </c>
      <c r="E21" s="42" t="s">
        <v>40</v>
      </c>
      <c r="F21" s="42" t="s">
        <v>122</v>
      </c>
      <c r="G21" s="42" t="s">
        <v>39</v>
      </c>
      <c r="H21" s="42" t="s">
        <v>334</v>
      </c>
    </row>
    <row r="22" spans="1:8">
      <c r="A22" s="40">
        <v>19</v>
      </c>
      <c r="B22" s="41" t="s">
        <v>123</v>
      </c>
      <c r="C22" s="42" t="s">
        <v>123</v>
      </c>
      <c r="D22" s="42" t="s">
        <v>123</v>
      </c>
      <c r="E22" s="42" t="s">
        <v>229</v>
      </c>
      <c r="F22" s="42" t="s">
        <v>230</v>
      </c>
      <c r="G22" s="42" t="s">
        <v>269</v>
      </c>
      <c r="H22" s="42" t="s">
        <v>270</v>
      </c>
    </row>
    <row r="23" spans="1:8">
      <c r="A23" s="40">
        <v>20</v>
      </c>
      <c r="B23" s="41" t="s">
        <v>124</v>
      </c>
      <c r="C23" s="42" t="s">
        <v>125</v>
      </c>
      <c r="D23" s="42" t="s">
        <v>124</v>
      </c>
      <c r="E23" s="42" t="s">
        <v>231</v>
      </c>
      <c r="F23" s="42" t="s">
        <v>125</v>
      </c>
      <c r="G23" s="42" t="s">
        <v>271</v>
      </c>
      <c r="H23" s="42" t="s">
        <v>272</v>
      </c>
    </row>
    <row r="24" spans="1:8">
      <c r="A24" s="40">
        <v>21</v>
      </c>
      <c r="B24" s="41" t="s">
        <v>126</v>
      </c>
      <c r="C24" s="42" t="s">
        <v>127</v>
      </c>
      <c r="D24" s="42" t="s">
        <v>126</v>
      </c>
      <c r="E24" s="42" t="s">
        <v>226</v>
      </c>
      <c r="F24" s="42" t="s">
        <v>127</v>
      </c>
      <c r="G24" s="42" t="s">
        <v>254</v>
      </c>
      <c r="H24" s="42" t="s">
        <v>273</v>
      </c>
    </row>
    <row r="25" spans="1:8">
      <c r="A25" s="40">
        <v>22</v>
      </c>
      <c r="B25" s="41" t="s">
        <v>128</v>
      </c>
      <c r="C25" s="42" t="s">
        <v>128</v>
      </c>
      <c r="D25" s="42" t="s">
        <v>128</v>
      </c>
      <c r="E25" s="42" t="s">
        <v>40</v>
      </c>
      <c r="F25" s="42" t="s">
        <v>128</v>
      </c>
      <c r="G25" s="42" t="s">
        <v>39</v>
      </c>
      <c r="H25" s="42" t="s">
        <v>274</v>
      </c>
    </row>
    <row r="26" spans="1:8">
      <c r="A26" s="40">
        <v>23</v>
      </c>
      <c r="B26" s="41" t="s">
        <v>129</v>
      </c>
      <c r="C26" s="42" t="s">
        <v>130</v>
      </c>
      <c r="D26" s="42" t="s">
        <v>129</v>
      </c>
      <c r="E26" s="42" t="s">
        <v>224</v>
      </c>
      <c r="F26" s="42" t="s">
        <v>232</v>
      </c>
      <c r="G26" s="42" t="s">
        <v>263</v>
      </c>
      <c r="H26" s="42" t="s">
        <v>275</v>
      </c>
    </row>
    <row r="27" spans="1:8">
      <c r="A27" s="40">
        <v>24</v>
      </c>
      <c r="B27" s="41" t="s">
        <v>131</v>
      </c>
      <c r="C27" s="42" t="s">
        <v>131</v>
      </c>
      <c r="D27" s="42" t="s">
        <v>131</v>
      </c>
      <c r="E27" s="42" t="s">
        <v>233</v>
      </c>
      <c r="F27" s="42" t="s">
        <v>131</v>
      </c>
      <c r="G27" s="42" t="s">
        <v>276</v>
      </c>
      <c r="H27" s="42" t="s">
        <v>277</v>
      </c>
    </row>
    <row r="28" spans="1:8">
      <c r="A28" s="40">
        <v>25</v>
      </c>
      <c r="B28" s="41" t="s">
        <v>132</v>
      </c>
      <c r="C28" s="42" t="s">
        <v>132</v>
      </c>
      <c r="D28" s="42" t="s">
        <v>132</v>
      </c>
      <c r="E28" s="42" t="s">
        <v>229</v>
      </c>
      <c r="F28" s="42" t="s">
        <v>132</v>
      </c>
      <c r="G28" s="42" t="s">
        <v>269</v>
      </c>
      <c r="H28" s="42" t="s">
        <v>278</v>
      </c>
    </row>
    <row r="29" spans="1:8">
      <c r="A29" s="40">
        <v>26</v>
      </c>
      <c r="B29" s="41" t="s">
        <v>133</v>
      </c>
      <c r="C29" s="42" t="s">
        <v>133</v>
      </c>
      <c r="D29" s="42" t="s">
        <v>133</v>
      </c>
      <c r="E29" s="42" t="s">
        <v>231</v>
      </c>
      <c r="F29" s="42" t="s">
        <v>133</v>
      </c>
      <c r="G29" s="42" t="s">
        <v>271</v>
      </c>
      <c r="H29" s="42" t="s">
        <v>279</v>
      </c>
    </row>
    <row r="30" spans="1:8">
      <c r="A30" s="40">
        <v>27</v>
      </c>
      <c r="B30" s="41" t="s">
        <v>134</v>
      </c>
      <c r="C30" s="42" t="s">
        <v>134</v>
      </c>
      <c r="D30" s="42" t="s">
        <v>134</v>
      </c>
      <c r="E30" s="42" t="s">
        <v>40</v>
      </c>
      <c r="F30" s="42" t="s">
        <v>134</v>
      </c>
      <c r="G30" s="42" t="s">
        <v>39</v>
      </c>
      <c r="H30" s="42" t="s">
        <v>283</v>
      </c>
    </row>
    <row r="31" spans="1:8">
      <c r="A31" s="40">
        <v>28</v>
      </c>
      <c r="B31" s="41" t="s">
        <v>135</v>
      </c>
      <c r="C31" s="42" t="s">
        <v>136</v>
      </c>
      <c r="D31" s="42" t="s">
        <v>135</v>
      </c>
      <c r="E31" s="42" t="s">
        <v>234</v>
      </c>
      <c r="F31" s="42" t="s">
        <v>135</v>
      </c>
      <c r="G31" s="42" t="s">
        <v>281</v>
      </c>
      <c r="H31" s="42" t="s">
        <v>282</v>
      </c>
    </row>
    <row r="32" spans="1:8">
      <c r="A32" s="40">
        <v>29</v>
      </c>
      <c r="B32" s="41" t="s">
        <v>137</v>
      </c>
      <c r="C32" s="42" t="s">
        <v>137</v>
      </c>
      <c r="D32" s="42" t="s">
        <v>137</v>
      </c>
      <c r="E32" s="42" t="s">
        <v>231</v>
      </c>
      <c r="F32" s="42" t="s">
        <v>137</v>
      </c>
      <c r="G32" s="42" t="s">
        <v>271</v>
      </c>
      <c r="H32" s="42" t="s">
        <v>280</v>
      </c>
    </row>
    <row r="33" spans="1:8">
      <c r="A33" s="40">
        <v>30</v>
      </c>
      <c r="B33" s="41" t="s">
        <v>138</v>
      </c>
      <c r="C33" s="42" t="s">
        <v>138</v>
      </c>
      <c r="D33" s="42" t="s">
        <v>138</v>
      </c>
      <c r="E33" s="42" t="s">
        <v>224</v>
      </c>
      <c r="F33" s="42" t="s">
        <v>138</v>
      </c>
      <c r="G33" s="42" t="s">
        <v>263</v>
      </c>
      <c r="H33" s="42" t="s">
        <v>285</v>
      </c>
    </row>
    <row r="34" spans="1:8">
      <c r="A34" s="40">
        <v>31</v>
      </c>
      <c r="B34" s="41" t="s">
        <v>139</v>
      </c>
      <c r="C34" s="42" t="s">
        <v>140</v>
      </c>
      <c r="D34" s="42" t="s">
        <v>139</v>
      </c>
      <c r="E34" s="42" t="s">
        <v>228</v>
      </c>
      <c r="F34" s="42" t="s">
        <v>139</v>
      </c>
      <c r="G34" s="42" t="s">
        <v>259</v>
      </c>
      <c r="H34" s="42" t="s">
        <v>284</v>
      </c>
    </row>
    <row r="35" spans="1:8">
      <c r="A35" s="40">
        <v>32</v>
      </c>
      <c r="B35" s="41" t="s">
        <v>141</v>
      </c>
      <c r="C35" s="42" t="s">
        <v>141</v>
      </c>
      <c r="D35" s="42" t="s">
        <v>141</v>
      </c>
      <c r="E35" s="42" t="s">
        <v>231</v>
      </c>
      <c r="F35" s="42" t="s">
        <v>141</v>
      </c>
      <c r="G35" s="42" t="s">
        <v>271</v>
      </c>
      <c r="H35" s="42" t="s">
        <v>286</v>
      </c>
    </row>
    <row r="36" spans="1:8">
      <c r="A36" s="40">
        <v>33</v>
      </c>
      <c r="B36" s="41" t="s">
        <v>142</v>
      </c>
      <c r="C36" s="42" t="s">
        <v>142</v>
      </c>
      <c r="D36" s="42" t="s">
        <v>142</v>
      </c>
      <c r="E36" s="42" t="s">
        <v>142</v>
      </c>
      <c r="F36" s="42" t="s">
        <v>142</v>
      </c>
      <c r="G36" s="42" t="s">
        <v>335</v>
      </c>
      <c r="H36" s="42" t="s">
        <v>336</v>
      </c>
    </row>
    <row r="37" spans="1:8">
      <c r="A37" s="40">
        <v>34</v>
      </c>
      <c r="B37" s="41" t="s">
        <v>143</v>
      </c>
      <c r="C37" s="42" t="s">
        <v>143</v>
      </c>
      <c r="D37" s="42" t="s">
        <v>143</v>
      </c>
      <c r="E37" s="42" t="s">
        <v>228</v>
      </c>
      <c r="F37" s="42" t="s">
        <v>143</v>
      </c>
      <c r="G37" s="42" t="s">
        <v>259</v>
      </c>
      <c r="H37" s="42" t="s">
        <v>287</v>
      </c>
    </row>
    <row r="38" spans="1:8">
      <c r="A38" s="40">
        <v>35</v>
      </c>
      <c r="B38" s="41" t="s">
        <v>144</v>
      </c>
      <c r="C38" s="42" t="s">
        <v>144</v>
      </c>
      <c r="D38" s="42" t="s">
        <v>144</v>
      </c>
      <c r="E38" s="42" t="s">
        <v>229</v>
      </c>
      <c r="F38" s="42" t="s">
        <v>235</v>
      </c>
      <c r="G38" s="42" t="s">
        <v>269</v>
      </c>
      <c r="H38" s="42" t="s">
        <v>288</v>
      </c>
    </row>
    <row r="39" spans="1:8">
      <c r="A39" s="40">
        <v>36</v>
      </c>
      <c r="B39" s="41" t="s">
        <v>310</v>
      </c>
      <c r="C39" s="42" t="s">
        <v>145</v>
      </c>
      <c r="D39" s="42" t="s">
        <v>146</v>
      </c>
      <c r="E39" s="42" t="s">
        <v>228</v>
      </c>
      <c r="F39" s="42" t="s">
        <v>236</v>
      </c>
      <c r="G39" s="42" t="s">
        <v>259</v>
      </c>
      <c r="H39" s="42" t="s">
        <v>289</v>
      </c>
    </row>
    <row r="40" spans="1:8">
      <c r="A40" s="40">
        <v>37</v>
      </c>
      <c r="B40" s="41" t="s">
        <v>313</v>
      </c>
      <c r="C40" s="42" t="s">
        <v>147</v>
      </c>
      <c r="D40" s="42" t="s">
        <v>147</v>
      </c>
      <c r="E40" s="42" t="s">
        <v>237</v>
      </c>
      <c r="F40" s="42" t="s">
        <v>147</v>
      </c>
      <c r="G40" s="42" t="s">
        <v>290</v>
      </c>
      <c r="H40" s="42" t="s">
        <v>291</v>
      </c>
    </row>
    <row r="41" spans="1:8">
      <c r="A41" s="40">
        <v>38</v>
      </c>
      <c r="B41" s="43" t="s">
        <v>148</v>
      </c>
      <c r="C41" s="40" t="s">
        <v>148</v>
      </c>
      <c r="D41" s="42" t="s">
        <v>148</v>
      </c>
      <c r="E41" s="42" t="s">
        <v>237</v>
      </c>
      <c r="F41" s="42" t="s">
        <v>148</v>
      </c>
      <c r="G41" s="42" t="s">
        <v>290</v>
      </c>
      <c r="H41" s="42" t="s">
        <v>292</v>
      </c>
    </row>
    <row r="42" spans="1:8">
      <c r="A42" s="40">
        <v>39</v>
      </c>
      <c r="B42" s="41" t="s">
        <v>149</v>
      </c>
      <c r="C42" s="42" t="s">
        <v>149</v>
      </c>
      <c r="D42" s="42" t="s">
        <v>149</v>
      </c>
      <c r="E42" s="42" t="s">
        <v>228</v>
      </c>
      <c r="F42" s="42" t="s">
        <v>149</v>
      </c>
      <c r="G42" s="42" t="s">
        <v>259</v>
      </c>
      <c r="H42" s="42" t="s">
        <v>293</v>
      </c>
    </row>
    <row r="43" spans="1:8">
      <c r="A43" s="40">
        <v>40</v>
      </c>
      <c r="B43" s="41" t="s">
        <v>314</v>
      </c>
      <c r="C43" s="42" t="s">
        <v>150</v>
      </c>
      <c r="D43" s="42" t="s">
        <v>151</v>
      </c>
      <c r="E43" s="42" t="s">
        <v>228</v>
      </c>
      <c r="F43" s="42" t="s">
        <v>151</v>
      </c>
      <c r="G43" s="42" t="s">
        <v>259</v>
      </c>
      <c r="H43" s="42" t="s">
        <v>337</v>
      </c>
    </row>
    <row r="44" spans="1:8">
      <c r="A44" s="40">
        <v>41</v>
      </c>
      <c r="B44" s="41" t="s">
        <v>152</v>
      </c>
      <c r="C44" s="42" t="s">
        <v>152</v>
      </c>
      <c r="D44" s="42" t="s">
        <v>152</v>
      </c>
      <c r="E44" s="42" t="s">
        <v>233</v>
      </c>
      <c r="F44" s="42" t="s">
        <v>152</v>
      </c>
      <c r="G44" s="42" t="s">
        <v>276</v>
      </c>
      <c r="H44" s="42" t="s">
        <v>294</v>
      </c>
    </row>
    <row r="45" spans="1:8">
      <c r="A45" s="40">
        <v>42</v>
      </c>
      <c r="B45" s="41" t="s">
        <v>153</v>
      </c>
      <c r="C45" s="42" t="s">
        <v>153</v>
      </c>
      <c r="D45" s="42" t="s">
        <v>153</v>
      </c>
      <c r="E45" s="42" t="s">
        <v>231</v>
      </c>
      <c r="F45" s="42" t="s">
        <v>153</v>
      </c>
      <c r="G45" s="42" t="s">
        <v>271</v>
      </c>
      <c r="H45" s="42" t="s">
        <v>295</v>
      </c>
    </row>
    <row r="46" spans="1:8">
      <c r="A46" s="40">
        <v>43</v>
      </c>
      <c r="B46" s="41" t="s">
        <v>154</v>
      </c>
      <c r="C46" s="42" t="s">
        <v>154</v>
      </c>
      <c r="D46" s="42" t="s">
        <v>154</v>
      </c>
      <c r="E46" s="42" t="s">
        <v>231</v>
      </c>
      <c r="F46" s="42" t="s">
        <v>154</v>
      </c>
      <c r="G46" s="42" t="s">
        <v>271</v>
      </c>
      <c r="H46" s="42" t="s">
        <v>297</v>
      </c>
    </row>
    <row r="47" spans="1:8">
      <c r="A47" s="40">
        <v>44</v>
      </c>
      <c r="B47" s="41" t="s">
        <v>311</v>
      </c>
      <c r="C47" s="42" t="s">
        <v>155</v>
      </c>
      <c r="D47" s="42" t="s">
        <v>155</v>
      </c>
      <c r="E47" s="42" t="s">
        <v>237</v>
      </c>
      <c r="F47" s="42" t="s">
        <v>155</v>
      </c>
      <c r="G47" s="42" t="s">
        <v>290</v>
      </c>
      <c r="H47" s="42" t="s">
        <v>296</v>
      </c>
    </row>
    <row r="48" spans="1:8">
      <c r="A48" s="40">
        <v>45</v>
      </c>
      <c r="B48" s="41" t="s">
        <v>156</v>
      </c>
      <c r="C48" s="42" t="s">
        <v>156</v>
      </c>
      <c r="D48" s="42" t="s">
        <v>156</v>
      </c>
      <c r="E48" s="42" t="s">
        <v>231</v>
      </c>
      <c r="F48" s="42" t="s">
        <v>238</v>
      </c>
      <c r="G48" s="42" t="s">
        <v>271</v>
      </c>
      <c r="H48" s="42" t="s">
        <v>299</v>
      </c>
    </row>
    <row r="49" spans="1:8">
      <c r="A49" s="40">
        <v>46</v>
      </c>
      <c r="B49" s="41" t="s">
        <v>157</v>
      </c>
      <c r="C49" s="42" t="s">
        <v>157</v>
      </c>
      <c r="D49" s="42" t="s">
        <v>157</v>
      </c>
      <c r="E49" s="42" t="s">
        <v>231</v>
      </c>
      <c r="F49" s="42" t="s">
        <v>239</v>
      </c>
      <c r="G49" s="42" t="s">
        <v>271</v>
      </c>
      <c r="H49" s="42" t="s">
        <v>298</v>
      </c>
    </row>
    <row r="50" spans="1:8">
      <c r="A50" s="40">
        <v>47</v>
      </c>
      <c r="B50" s="41" t="s">
        <v>312</v>
      </c>
      <c r="C50" s="42" t="s">
        <v>158</v>
      </c>
      <c r="D50" s="42" t="s">
        <v>159</v>
      </c>
      <c r="E50" s="42" t="s">
        <v>231</v>
      </c>
      <c r="F50" s="42" t="s">
        <v>158</v>
      </c>
      <c r="G50" s="42" t="s">
        <v>271</v>
      </c>
      <c r="H50" s="42" t="s">
        <v>300</v>
      </c>
    </row>
    <row r="51" spans="1:8">
      <c r="A51" s="40">
        <v>48</v>
      </c>
      <c r="B51" s="41" t="s">
        <v>160</v>
      </c>
      <c r="C51" s="42" t="s">
        <v>160</v>
      </c>
      <c r="D51" s="42" t="s">
        <v>160</v>
      </c>
      <c r="E51" s="42" t="s">
        <v>231</v>
      </c>
      <c r="F51" s="42" t="s">
        <v>160</v>
      </c>
      <c r="G51" s="42" t="s">
        <v>271</v>
      </c>
      <c r="H51" s="42" t="s">
        <v>301</v>
      </c>
    </row>
    <row r="52" spans="1:8">
      <c r="A52" s="40">
        <v>49</v>
      </c>
      <c r="B52" s="41" t="s">
        <v>161</v>
      </c>
      <c r="C52" s="42" t="s">
        <v>161</v>
      </c>
      <c r="D52" s="42" t="s">
        <v>161</v>
      </c>
      <c r="E52" s="42" t="s">
        <v>231</v>
      </c>
      <c r="F52" s="42" t="s">
        <v>240</v>
      </c>
      <c r="G52" s="42" t="s">
        <v>271</v>
      </c>
      <c r="H52" s="42" t="s">
        <v>302</v>
      </c>
    </row>
    <row r="53" spans="1:8">
      <c r="A53" s="40">
        <v>50</v>
      </c>
      <c r="B53" s="41" t="s">
        <v>162</v>
      </c>
      <c r="C53" s="42" t="s">
        <v>162</v>
      </c>
      <c r="D53" s="42" t="s">
        <v>162</v>
      </c>
      <c r="E53" s="42" t="s">
        <v>231</v>
      </c>
      <c r="F53" s="42" t="s">
        <v>162</v>
      </c>
      <c r="G53" s="42" t="s">
        <v>271</v>
      </c>
      <c r="H53" s="42" t="s">
        <v>304</v>
      </c>
    </row>
    <row r="54" spans="1:8">
      <c r="A54" s="40">
        <v>51</v>
      </c>
      <c r="B54" s="41" t="s">
        <v>163</v>
      </c>
      <c r="C54" s="42" t="s">
        <v>163</v>
      </c>
      <c r="D54" s="42" t="s">
        <v>163</v>
      </c>
      <c r="E54" s="42" t="s">
        <v>227</v>
      </c>
      <c r="F54" s="42" t="s">
        <v>163</v>
      </c>
      <c r="G54" s="42" t="s">
        <v>257</v>
      </c>
      <c r="H54" s="42" t="s">
        <v>305</v>
      </c>
    </row>
    <row r="55" spans="1:8">
      <c r="A55" s="40">
        <v>52</v>
      </c>
      <c r="B55" s="69" t="s">
        <v>251</v>
      </c>
      <c r="C55" s="51" t="s">
        <v>251</v>
      </c>
      <c r="D55" s="51" t="s">
        <v>251</v>
      </c>
      <c r="E55" s="51" t="s">
        <v>252</v>
      </c>
      <c r="F55" s="51" t="s">
        <v>248</v>
      </c>
      <c r="G55" s="51" t="s">
        <v>254</v>
      </c>
      <c r="H55" s="51" t="s">
        <v>308</v>
      </c>
    </row>
    <row r="56" spans="1:8">
      <c r="A56" s="40">
        <v>53</v>
      </c>
      <c r="B56" s="69" t="s">
        <v>245</v>
      </c>
      <c r="C56" s="51" t="s">
        <v>306</v>
      </c>
      <c r="D56" s="51" t="s">
        <v>245</v>
      </c>
      <c r="E56" s="51" t="s">
        <v>307</v>
      </c>
      <c r="F56" s="51" t="s">
        <v>245</v>
      </c>
      <c r="G56" s="51" t="s">
        <v>259</v>
      </c>
      <c r="H56" s="51" t="s">
        <v>309</v>
      </c>
    </row>
    <row r="57" spans="1:8">
      <c r="A57" s="40">
        <v>54</v>
      </c>
      <c r="B57" s="69" t="s">
        <v>315</v>
      </c>
      <c r="C57" s="51" t="s">
        <v>316</v>
      </c>
      <c r="D57" s="51" t="s">
        <v>315</v>
      </c>
      <c r="E57" s="51" t="s">
        <v>227</v>
      </c>
      <c r="F57" s="51" t="s">
        <v>317</v>
      </c>
      <c r="G57" s="51" t="s">
        <v>257</v>
      </c>
      <c r="H57" s="51" t="s">
        <v>318</v>
      </c>
    </row>
    <row r="58" spans="1:8">
      <c r="A58" s="40">
        <v>55</v>
      </c>
      <c r="B58" s="69" t="s">
        <v>326</v>
      </c>
      <c r="C58" s="51" t="s">
        <v>326</v>
      </c>
      <c r="D58" s="51" t="s">
        <v>326</v>
      </c>
      <c r="E58" s="51" t="s">
        <v>231</v>
      </c>
      <c r="F58" s="51" t="s">
        <v>327</v>
      </c>
      <c r="G58" s="51" t="s">
        <v>271</v>
      </c>
      <c r="H58" s="51" t="s">
        <v>338</v>
      </c>
    </row>
    <row r="59" spans="1:8">
      <c r="A59" s="40">
        <v>56</v>
      </c>
      <c r="B59" s="69" t="s">
        <v>357</v>
      </c>
      <c r="C59" s="51" t="s">
        <v>352</v>
      </c>
      <c r="D59" s="51" t="s">
        <v>363</v>
      </c>
      <c r="E59" s="51" t="s">
        <v>228</v>
      </c>
      <c r="F59" s="51" t="s">
        <v>352</v>
      </c>
      <c r="G59" s="51" t="s">
        <v>259</v>
      </c>
      <c r="H59" s="51" t="s">
        <v>353</v>
      </c>
    </row>
    <row r="60" spans="1:8">
      <c r="A60" s="40">
        <v>57</v>
      </c>
      <c r="B60" s="69" t="s">
        <v>355</v>
      </c>
      <c r="C60" s="51" t="s">
        <v>349</v>
      </c>
      <c r="D60" s="51" t="s">
        <v>364</v>
      </c>
      <c r="E60" s="51" t="s">
        <v>252</v>
      </c>
      <c r="F60" s="51" t="s">
        <v>355</v>
      </c>
      <c r="G60" s="51" t="s">
        <v>254</v>
      </c>
      <c r="H60" s="51" t="s">
        <v>356</v>
      </c>
    </row>
    <row r="61" spans="1:8">
      <c r="A61" s="40">
        <v>58</v>
      </c>
      <c r="B61" s="69" t="s">
        <v>365</v>
      </c>
      <c r="C61" s="51" t="s">
        <v>365</v>
      </c>
      <c r="D61" s="51" t="s">
        <v>365</v>
      </c>
      <c r="E61" s="72" t="s">
        <v>224</v>
      </c>
      <c r="F61" s="72" t="s">
        <v>366</v>
      </c>
      <c r="G61" s="72" t="s">
        <v>263</v>
      </c>
      <c r="H61" s="72" t="s">
        <v>367</v>
      </c>
    </row>
    <row r="62" spans="1:8">
      <c r="A62" s="40">
        <v>59</v>
      </c>
      <c r="B62" s="69" t="s">
        <v>368</v>
      </c>
      <c r="C62" s="51" t="s">
        <v>368</v>
      </c>
      <c r="D62" s="51" t="s">
        <v>368</v>
      </c>
      <c r="E62" s="72" t="s">
        <v>226</v>
      </c>
      <c r="F62" s="72" t="s">
        <v>358</v>
      </c>
      <c r="G62" s="72" t="s">
        <v>254</v>
      </c>
      <c r="H62" s="72" t="s">
        <v>369</v>
      </c>
    </row>
    <row r="63" spans="1:8">
      <c r="A63" s="40">
        <v>60</v>
      </c>
      <c r="B63" s="69" t="s">
        <v>375</v>
      </c>
      <c r="C63" s="51" t="s">
        <v>375</v>
      </c>
      <c r="D63" s="51" t="s">
        <v>375</v>
      </c>
      <c r="E63" s="72" t="s">
        <v>376</v>
      </c>
      <c r="F63" s="72" t="s">
        <v>377</v>
      </c>
      <c r="G63" s="42" t="s">
        <v>259</v>
      </c>
      <c r="H63" s="72" t="s">
        <v>378</v>
      </c>
    </row>
    <row r="64" spans="1:8">
      <c r="A64" s="40">
        <v>61</v>
      </c>
      <c r="B64" s="69" t="s">
        <v>382</v>
      </c>
      <c r="C64" s="51" t="s">
        <v>382</v>
      </c>
      <c r="D64" s="51" t="s">
        <v>382</v>
      </c>
      <c r="E64" s="42" t="s">
        <v>237</v>
      </c>
      <c r="F64" s="42" t="s">
        <v>383</v>
      </c>
      <c r="G64" s="42" t="s">
        <v>290</v>
      </c>
      <c r="H64" s="42" t="s">
        <v>384</v>
      </c>
    </row>
    <row r="65" spans="1:8">
      <c r="A65" s="2"/>
      <c r="B65" s="73"/>
      <c r="C65" s="73"/>
      <c r="D65" s="73"/>
      <c r="E65" s="73"/>
      <c r="F65" s="74"/>
      <c r="G65" s="74"/>
      <c r="H65" s="74"/>
    </row>
    <row r="66" spans="1:8">
      <c r="A66" s="2"/>
      <c r="B66" s="73"/>
      <c r="C66" s="73"/>
      <c r="D66" s="73"/>
      <c r="E66" s="73"/>
      <c r="F66" s="74"/>
      <c r="G66" s="74"/>
      <c r="H66" s="74"/>
    </row>
    <row r="67" spans="1:8">
      <c r="A67" s="2"/>
      <c r="B67" s="36"/>
      <c r="C67" s="36"/>
      <c r="D67" s="36"/>
      <c r="E67" s="36"/>
    </row>
    <row r="68" spans="1:8">
      <c r="A68" s="2"/>
      <c r="B68" s="36"/>
      <c r="C68" s="36"/>
      <c r="D68" s="36"/>
      <c r="E68" s="36"/>
    </row>
    <row r="69" spans="1:8">
      <c r="A69" s="2"/>
      <c r="B69" s="36"/>
      <c r="C69" s="36"/>
      <c r="D69" s="36"/>
      <c r="E69" s="36"/>
    </row>
    <row r="70" spans="1:8">
      <c r="A70" s="2"/>
      <c r="B70" s="36"/>
      <c r="C70" s="36"/>
      <c r="D70" s="36"/>
      <c r="E70" s="36"/>
    </row>
    <row r="71" spans="1:8">
      <c r="A71" s="2"/>
      <c r="B71" s="36"/>
      <c r="C71" s="36"/>
      <c r="D71" s="36"/>
      <c r="E71" s="36"/>
    </row>
    <row r="72" spans="1:8">
      <c r="A72" s="2"/>
      <c r="B72" s="36"/>
      <c r="C72" s="36"/>
      <c r="D72" s="36"/>
      <c r="E72" s="36"/>
    </row>
    <row r="73" spans="1:8">
      <c r="A73" s="2"/>
      <c r="B73" s="36"/>
      <c r="C73" s="36"/>
      <c r="D73" s="36"/>
      <c r="E73" s="36"/>
    </row>
    <row r="74" spans="1:8">
      <c r="A74" s="2"/>
      <c r="B74" s="36"/>
      <c r="C74" s="36"/>
      <c r="D74" s="36"/>
      <c r="E74" s="36"/>
    </row>
    <row r="75" spans="1:8">
      <c r="A75" s="2"/>
      <c r="B75" s="36"/>
      <c r="C75" s="36"/>
      <c r="D75" s="36"/>
      <c r="E75" s="36"/>
    </row>
    <row r="76" spans="1:8">
      <c r="A76" s="2"/>
      <c r="B76" s="36"/>
      <c r="C76" s="36"/>
      <c r="D76" s="36"/>
      <c r="E76" s="36"/>
    </row>
    <row r="77" spans="1:8">
      <c r="A77" s="2"/>
      <c r="B77" s="36"/>
      <c r="C77" s="36"/>
      <c r="D77" s="36"/>
      <c r="E77" s="36"/>
    </row>
    <row r="78" spans="1:8">
      <c r="A78" s="2"/>
      <c r="B78" s="36"/>
      <c r="C78" s="36"/>
      <c r="D78" s="36"/>
      <c r="E78" s="36"/>
    </row>
    <row r="79" spans="1:8">
      <c r="A79" s="2"/>
      <c r="B79" s="36"/>
      <c r="C79" s="36"/>
      <c r="D79" s="36"/>
      <c r="E79" s="36"/>
    </row>
    <row r="80" spans="1:8">
      <c r="A80" s="2"/>
      <c r="B80" s="36"/>
      <c r="C80" s="36"/>
      <c r="D80" s="36"/>
      <c r="E80" s="36"/>
    </row>
    <row r="81" spans="1:5">
      <c r="A81" s="2"/>
      <c r="B81" s="36"/>
      <c r="C81" s="36"/>
      <c r="D81" s="36"/>
      <c r="E81" s="36"/>
    </row>
    <row r="82" spans="1:5">
      <c r="A82" s="2"/>
      <c r="B82" s="36"/>
      <c r="C82" s="36"/>
      <c r="D82" s="36"/>
      <c r="E82" s="36"/>
    </row>
    <row r="83" spans="1:5">
      <c r="A83" s="2"/>
      <c r="B83" s="36"/>
      <c r="C83" s="36"/>
      <c r="D83" s="36"/>
      <c r="E83" s="36"/>
    </row>
    <row r="84" spans="1:5">
      <c r="A84" s="2"/>
      <c r="B84" s="36"/>
      <c r="C84" s="36"/>
      <c r="D84" s="36"/>
      <c r="E84" s="36"/>
    </row>
    <row r="85" spans="1:5">
      <c r="A85" s="2"/>
      <c r="B85" s="36"/>
      <c r="C85" s="36"/>
      <c r="D85" s="36"/>
      <c r="E85" s="36"/>
    </row>
    <row r="86" spans="1:5">
      <c r="A86" s="2"/>
      <c r="B86" s="36"/>
      <c r="C86" s="36"/>
      <c r="D86" s="36"/>
      <c r="E86" s="36"/>
    </row>
    <row r="87" spans="1:5">
      <c r="A87" s="2"/>
      <c r="B87" s="36"/>
      <c r="C87" s="36"/>
      <c r="D87" s="36"/>
      <c r="E87" s="36"/>
    </row>
    <row r="88" spans="1:5">
      <c r="A88" s="2"/>
      <c r="B88" s="36"/>
      <c r="C88" s="36"/>
      <c r="D88" s="36"/>
      <c r="E88" s="36"/>
    </row>
    <row r="89" spans="1:5">
      <c r="A89" s="2"/>
      <c r="B89" s="36"/>
      <c r="C89" s="36"/>
      <c r="D89" s="36"/>
      <c r="E89" s="36"/>
    </row>
    <row r="90" spans="1:5">
      <c r="A90" s="2"/>
      <c r="B90" s="36"/>
      <c r="C90" s="36"/>
      <c r="D90" s="36"/>
      <c r="E90" s="36"/>
    </row>
    <row r="91" spans="1:5">
      <c r="A91" s="2"/>
      <c r="B91" s="36"/>
      <c r="C91" s="36"/>
      <c r="D91" s="36"/>
      <c r="E91" s="36"/>
    </row>
    <row r="92" spans="1:5">
      <c r="A92" s="2"/>
      <c r="B92" s="36"/>
      <c r="C92" s="36"/>
      <c r="D92" s="36"/>
      <c r="E92" s="36"/>
    </row>
    <row r="93" spans="1:5">
      <c r="A93" s="2"/>
      <c r="B93" s="36"/>
      <c r="C93" s="36"/>
      <c r="D93" s="36"/>
      <c r="E93" s="36"/>
    </row>
    <row r="94" spans="1:5">
      <c r="A94" s="2"/>
      <c r="B94" s="36"/>
      <c r="C94" s="36"/>
      <c r="D94" s="36"/>
      <c r="E94" s="36"/>
    </row>
    <row r="95" spans="1:5">
      <c r="A95" s="2"/>
      <c r="B95" s="36"/>
      <c r="C95" s="36"/>
      <c r="D95" s="36"/>
      <c r="E95" s="36"/>
    </row>
    <row r="96" spans="1:5">
      <c r="A96" s="2"/>
      <c r="B96" s="36"/>
      <c r="C96" s="36"/>
      <c r="D96" s="36"/>
      <c r="E96" s="36"/>
    </row>
    <row r="97" spans="1:5">
      <c r="A97" s="2"/>
      <c r="B97" s="36"/>
      <c r="C97" s="36"/>
      <c r="D97" s="36"/>
      <c r="E97" s="36"/>
    </row>
    <row r="98" spans="1:5">
      <c r="A98" s="2"/>
      <c r="B98" s="36"/>
      <c r="C98" s="36"/>
      <c r="D98" s="36"/>
      <c r="E98" s="36"/>
    </row>
    <row r="99" spans="1:5">
      <c r="A99" s="2"/>
      <c r="B99" s="36"/>
      <c r="C99" s="36"/>
      <c r="D99" s="36"/>
      <c r="E99" s="36"/>
    </row>
    <row r="100" spans="1:5">
      <c r="A100" s="2"/>
      <c r="B100" s="36"/>
      <c r="C100" s="36"/>
      <c r="D100" s="36"/>
      <c r="E100" s="36"/>
    </row>
    <row r="101" spans="1:5">
      <c r="A101" s="2"/>
      <c r="B101" s="36"/>
      <c r="C101" s="36"/>
      <c r="D101" s="36"/>
      <c r="E101" s="36"/>
    </row>
    <row r="102" spans="1:5">
      <c r="A102" s="2"/>
      <c r="B102" s="36"/>
      <c r="C102" s="36"/>
      <c r="D102" s="36"/>
      <c r="E102" s="36"/>
    </row>
    <row r="103" spans="1:5">
      <c r="A103" s="2"/>
      <c r="B103" s="36"/>
      <c r="C103" s="36"/>
      <c r="D103" s="36"/>
      <c r="E103" s="36"/>
    </row>
    <row r="104" spans="1:5">
      <c r="A104" s="2"/>
      <c r="B104" s="36"/>
      <c r="C104" s="36"/>
      <c r="D104" s="36"/>
      <c r="E104" s="36"/>
    </row>
    <row r="105" spans="1:5">
      <c r="A105" s="2"/>
      <c r="B105" s="36"/>
      <c r="C105" s="36"/>
      <c r="D105" s="36"/>
      <c r="E105" s="36"/>
    </row>
    <row r="106" spans="1:5">
      <c r="A106" s="2"/>
      <c r="B106" s="36"/>
      <c r="C106" s="36"/>
      <c r="D106" s="36"/>
      <c r="E106" s="36"/>
    </row>
    <row r="107" spans="1:5">
      <c r="A107" s="2"/>
      <c r="B107" s="36"/>
      <c r="C107" s="36"/>
      <c r="D107" s="36"/>
      <c r="E107" s="36"/>
    </row>
    <row r="108" spans="1:5">
      <c r="A108" s="2"/>
      <c r="B108" s="36"/>
      <c r="C108" s="36"/>
      <c r="D108" s="36"/>
      <c r="E108" s="36"/>
    </row>
    <row r="109" spans="1:5">
      <c r="A109" s="2"/>
      <c r="B109" s="36"/>
      <c r="C109" s="36"/>
      <c r="D109" s="36"/>
      <c r="E109" s="36"/>
    </row>
    <row r="110" spans="1:5">
      <c r="A110" s="2"/>
      <c r="B110" s="36"/>
      <c r="C110" s="36"/>
      <c r="D110" s="36"/>
      <c r="E110" s="36"/>
    </row>
    <row r="111" spans="1:5">
      <c r="A111" s="2"/>
      <c r="B111" s="36"/>
      <c r="C111" s="36"/>
      <c r="D111" s="36"/>
      <c r="E111" s="36"/>
    </row>
    <row r="112" spans="1:5">
      <c r="A112" s="2"/>
      <c r="B112" s="36"/>
      <c r="C112" s="36"/>
      <c r="D112" s="36"/>
      <c r="E112" s="36"/>
    </row>
    <row r="113" spans="1:5">
      <c r="A113" s="2"/>
      <c r="B113" s="36"/>
      <c r="C113" s="36"/>
      <c r="D113" s="36"/>
      <c r="E113" s="36"/>
    </row>
    <row r="114" spans="1:5">
      <c r="A114" s="2"/>
      <c r="B114" s="36"/>
      <c r="C114" s="36"/>
      <c r="D114" s="36"/>
      <c r="E114" s="36"/>
    </row>
    <row r="115" spans="1:5">
      <c r="A115" s="2"/>
      <c r="B115" s="36"/>
      <c r="C115" s="36"/>
      <c r="D115" s="36"/>
      <c r="E115" s="36"/>
    </row>
    <row r="116" spans="1:5">
      <c r="A116" s="2"/>
      <c r="B116" s="36"/>
      <c r="C116" s="36"/>
      <c r="D116" s="36"/>
      <c r="E116" s="36"/>
    </row>
    <row r="117" spans="1:5">
      <c r="A117" s="2"/>
      <c r="B117" s="36"/>
      <c r="C117" s="36"/>
      <c r="D117" s="36"/>
      <c r="E117" s="36"/>
    </row>
    <row r="118" spans="1:5">
      <c r="A118" s="2"/>
      <c r="B118" s="36"/>
      <c r="C118" s="36"/>
      <c r="D118" s="36"/>
      <c r="E118" s="36"/>
    </row>
    <row r="119" spans="1:5">
      <c r="A119" s="2"/>
      <c r="B119" s="36"/>
      <c r="C119" s="36"/>
      <c r="D119" s="36"/>
      <c r="E119" s="36"/>
    </row>
    <row r="120" spans="1:5">
      <c r="A120" s="2"/>
      <c r="B120" s="36"/>
      <c r="C120" s="36"/>
      <c r="D120" s="36"/>
      <c r="E120" s="36"/>
    </row>
    <row r="121" spans="1:5">
      <c r="A121" s="2"/>
      <c r="B121" s="36"/>
      <c r="C121" s="36"/>
      <c r="D121" s="36"/>
      <c r="E121" s="36"/>
    </row>
    <row r="122" spans="1:5">
      <c r="A122" s="2"/>
      <c r="B122" s="36"/>
      <c r="C122" s="36"/>
      <c r="D122" s="36"/>
      <c r="E122" s="36"/>
    </row>
    <row r="123" spans="1:5">
      <c r="A123" s="2"/>
      <c r="B123" s="36"/>
      <c r="C123" s="36"/>
      <c r="D123" s="36"/>
      <c r="E123" s="36"/>
    </row>
    <row r="124" spans="1:5">
      <c r="A124" s="2"/>
      <c r="B124" s="36"/>
      <c r="C124" s="36"/>
      <c r="D124" s="36"/>
      <c r="E124" s="36"/>
    </row>
    <row r="125" spans="1:5">
      <c r="A125" s="2"/>
      <c r="B125" s="36"/>
      <c r="C125" s="36"/>
      <c r="D125" s="36"/>
      <c r="E125" s="36"/>
    </row>
    <row r="126" spans="1:5">
      <c r="A126" s="2"/>
      <c r="B126" s="36"/>
      <c r="C126" s="36"/>
      <c r="D126" s="36"/>
      <c r="E126" s="36"/>
    </row>
    <row r="127" spans="1:5">
      <c r="A127" s="2"/>
      <c r="B127" s="36"/>
      <c r="C127" s="36"/>
      <c r="D127" s="36"/>
      <c r="E127" s="36"/>
    </row>
    <row r="128" spans="1:5">
      <c r="A128" s="2"/>
      <c r="B128" s="36"/>
      <c r="C128" s="36"/>
      <c r="D128" s="36"/>
      <c r="E128" s="36"/>
    </row>
    <row r="129" spans="1:5">
      <c r="A129" s="2"/>
      <c r="B129" s="36"/>
      <c r="C129" s="36"/>
      <c r="D129" s="36"/>
      <c r="E129" s="36"/>
    </row>
    <row r="130" spans="1:5">
      <c r="A130" s="2"/>
      <c r="B130" s="36"/>
      <c r="C130" s="36"/>
      <c r="D130" s="36"/>
      <c r="E130" s="36"/>
    </row>
    <row r="131" spans="1:5">
      <c r="A131" s="2"/>
      <c r="B131" s="36"/>
      <c r="C131" s="36"/>
      <c r="D131" s="36"/>
      <c r="E131" s="36"/>
    </row>
    <row r="132" spans="1:5">
      <c r="A132" s="2"/>
      <c r="B132" s="36"/>
      <c r="C132" s="36"/>
      <c r="D132" s="36"/>
      <c r="E132" s="36"/>
    </row>
    <row r="133" spans="1:5">
      <c r="A133" s="2"/>
      <c r="B133" s="36"/>
      <c r="C133" s="36"/>
      <c r="D133" s="36"/>
      <c r="E133" s="36"/>
    </row>
    <row r="134" spans="1:5">
      <c r="A134" s="2"/>
      <c r="B134" s="36"/>
      <c r="C134" s="36"/>
      <c r="D134" s="36"/>
      <c r="E134" s="36"/>
    </row>
    <row r="135" spans="1:5">
      <c r="A135" s="2"/>
      <c r="B135" s="36"/>
      <c r="C135" s="36"/>
      <c r="D135" s="36"/>
      <c r="E135" s="36"/>
    </row>
    <row r="136" spans="1:5">
      <c r="A136" s="2"/>
      <c r="B136" s="36"/>
      <c r="C136" s="36"/>
      <c r="D136" s="36"/>
      <c r="E136" s="36"/>
    </row>
    <row r="137" spans="1:5">
      <c r="A137" s="2"/>
      <c r="B137" s="36"/>
      <c r="C137" s="36"/>
      <c r="D137" s="36"/>
      <c r="E137" s="36"/>
    </row>
    <row r="138" spans="1:5">
      <c r="A138" s="2"/>
      <c r="B138" s="36"/>
      <c r="C138" s="36"/>
      <c r="D138" s="36"/>
      <c r="E138" s="36"/>
    </row>
    <row r="139" spans="1:5">
      <c r="A139" s="2"/>
      <c r="B139" s="36"/>
      <c r="C139" s="36"/>
      <c r="D139" s="36"/>
      <c r="E139" s="36"/>
    </row>
    <row r="140" spans="1:5">
      <c r="A140" s="2"/>
      <c r="B140" s="36"/>
      <c r="C140" s="36"/>
      <c r="D140" s="36"/>
      <c r="E140" s="36"/>
    </row>
    <row r="141" spans="1:5">
      <c r="A141" s="2"/>
      <c r="B141" s="36"/>
      <c r="C141" s="36"/>
      <c r="D141" s="36"/>
      <c r="E141" s="36"/>
    </row>
    <row r="142" spans="1:5">
      <c r="A142" s="2"/>
      <c r="B142" s="36"/>
      <c r="C142" s="36"/>
      <c r="D142" s="36"/>
      <c r="E142" s="36"/>
    </row>
    <row r="143" spans="1:5">
      <c r="A143" s="2"/>
      <c r="B143" s="36"/>
      <c r="C143" s="36"/>
      <c r="D143" s="36"/>
      <c r="E143" s="36"/>
    </row>
    <row r="144" spans="1:5">
      <c r="A144" s="2"/>
      <c r="B144" s="36"/>
      <c r="C144" s="36"/>
      <c r="D144" s="36"/>
      <c r="E144" s="36"/>
    </row>
    <row r="145" spans="1:5">
      <c r="A145" s="2"/>
      <c r="B145" s="36"/>
      <c r="C145" s="36"/>
      <c r="D145" s="36"/>
      <c r="E145" s="36"/>
    </row>
    <row r="146" spans="1:5">
      <c r="A146" s="2"/>
      <c r="B146" s="36"/>
      <c r="C146" s="36"/>
      <c r="D146" s="36"/>
      <c r="E146" s="36"/>
    </row>
    <row r="147" spans="1:5">
      <c r="A147" s="2"/>
      <c r="B147" s="36"/>
      <c r="C147" s="36"/>
      <c r="D147" s="36"/>
      <c r="E147" s="36"/>
    </row>
    <row r="148" spans="1:5">
      <c r="A148" s="2"/>
      <c r="B148" s="36"/>
      <c r="C148" s="36"/>
      <c r="D148" s="36"/>
      <c r="E148" s="36"/>
    </row>
    <row r="149" spans="1:5">
      <c r="A149" s="2"/>
      <c r="B149" s="36"/>
      <c r="C149" s="36"/>
      <c r="D149" s="36"/>
      <c r="E149" s="36"/>
    </row>
    <row r="150" spans="1:5">
      <c r="A150" s="2"/>
      <c r="B150" s="36"/>
      <c r="C150" s="36"/>
      <c r="D150" s="36"/>
      <c r="E150" s="36"/>
    </row>
    <row r="151" spans="1:5">
      <c r="A151" s="2"/>
      <c r="B151" s="36"/>
      <c r="C151" s="36"/>
      <c r="D151" s="36"/>
      <c r="E151" s="36"/>
    </row>
    <row r="152" spans="1:5">
      <c r="A152" s="2"/>
      <c r="B152" s="36"/>
      <c r="C152" s="36"/>
      <c r="D152" s="36"/>
      <c r="E152" s="36"/>
    </row>
    <row r="153" spans="1:5">
      <c r="A153" s="2"/>
      <c r="B153" s="36"/>
      <c r="C153" s="36"/>
      <c r="D153" s="36"/>
      <c r="E153" s="36"/>
    </row>
    <row r="154" spans="1:5">
      <c r="A154" s="2"/>
      <c r="B154" s="36"/>
      <c r="C154" s="36"/>
      <c r="D154" s="36"/>
      <c r="E154" s="36"/>
    </row>
    <row r="155" spans="1:5">
      <c r="A155" s="2"/>
      <c r="B155" s="36"/>
      <c r="C155" s="36"/>
      <c r="D155" s="36"/>
      <c r="E155" s="36"/>
    </row>
    <row r="156" spans="1:5">
      <c r="A156" s="2"/>
      <c r="B156" s="36"/>
      <c r="C156" s="36"/>
      <c r="D156" s="36"/>
      <c r="E156" s="36"/>
    </row>
    <row r="157" spans="1:5">
      <c r="A157" s="2"/>
      <c r="B157" s="36"/>
      <c r="C157" s="36"/>
      <c r="D157" s="36"/>
      <c r="E157" s="36"/>
    </row>
    <row r="158" spans="1:5">
      <c r="A158" s="2"/>
      <c r="B158" s="36"/>
      <c r="C158" s="36"/>
      <c r="D158" s="36"/>
      <c r="E158" s="36"/>
    </row>
    <row r="159" spans="1:5">
      <c r="A159" s="2"/>
      <c r="B159" s="36"/>
      <c r="C159" s="36"/>
      <c r="D159" s="36"/>
      <c r="E159" s="36"/>
    </row>
    <row r="160" spans="1:5">
      <c r="A160" s="2"/>
      <c r="B160" s="36"/>
      <c r="C160" s="36"/>
      <c r="D160" s="36"/>
      <c r="E160" s="36"/>
    </row>
    <row r="161" spans="1:5">
      <c r="A161" s="2"/>
      <c r="B161" s="36"/>
      <c r="C161" s="36"/>
      <c r="D161" s="36"/>
      <c r="E161" s="36"/>
    </row>
    <row r="162" spans="1:5">
      <c r="A162" s="2"/>
      <c r="B162" s="36"/>
      <c r="C162" s="36"/>
      <c r="D162" s="36"/>
      <c r="E162" s="36"/>
    </row>
    <row r="163" spans="1:5">
      <c r="A163" s="2"/>
      <c r="B163" s="36"/>
      <c r="C163" s="36"/>
      <c r="D163" s="36"/>
      <c r="E163" s="36"/>
    </row>
    <row r="164" spans="1:5">
      <c r="A164" s="2"/>
      <c r="B164" s="36"/>
      <c r="C164" s="36"/>
      <c r="D164" s="36"/>
      <c r="E164" s="36"/>
    </row>
    <row r="165" spans="1:5">
      <c r="A165" s="2"/>
      <c r="B165" s="36"/>
      <c r="C165" s="36"/>
      <c r="D165" s="36"/>
      <c r="E165" s="36"/>
    </row>
    <row r="166" spans="1:5">
      <c r="A166" s="2"/>
      <c r="B166" s="36"/>
      <c r="C166" s="36"/>
      <c r="D166" s="36"/>
      <c r="E166" s="36"/>
    </row>
    <row r="167" spans="1:5">
      <c r="A167" s="2"/>
      <c r="B167" s="36"/>
      <c r="C167" s="36"/>
      <c r="D167" s="36"/>
      <c r="E167" s="36"/>
    </row>
    <row r="168" spans="1:5">
      <c r="A168" s="2"/>
      <c r="B168" s="36"/>
      <c r="C168" s="36"/>
      <c r="D168" s="36"/>
      <c r="E168" s="36"/>
    </row>
    <row r="169" spans="1:5">
      <c r="A169" s="2"/>
      <c r="B169" s="36"/>
      <c r="C169" s="36"/>
      <c r="D169" s="36"/>
      <c r="E169" s="36"/>
    </row>
    <row r="170" spans="1:5">
      <c r="A170" s="2"/>
      <c r="B170" s="36"/>
      <c r="C170" s="36"/>
      <c r="D170" s="36"/>
      <c r="E170" s="36"/>
    </row>
    <row r="171" spans="1:5">
      <c r="A171" s="2"/>
      <c r="B171" s="36"/>
      <c r="C171" s="36"/>
      <c r="D171" s="36"/>
      <c r="E171" s="36"/>
    </row>
    <row r="172" spans="1:5">
      <c r="A172" s="2"/>
      <c r="B172" s="36"/>
      <c r="C172" s="36"/>
      <c r="D172" s="36"/>
      <c r="E172" s="36"/>
    </row>
    <row r="173" spans="1:5">
      <c r="A173" s="2"/>
      <c r="B173" s="36"/>
      <c r="C173" s="36"/>
      <c r="D173" s="36"/>
      <c r="E173" s="36"/>
    </row>
    <row r="174" spans="1:5">
      <c r="A174" s="2"/>
      <c r="B174" s="36"/>
      <c r="C174" s="36"/>
      <c r="D174" s="36"/>
      <c r="E174" s="36"/>
    </row>
    <row r="175" spans="1:5">
      <c r="A175" s="2"/>
      <c r="B175" s="36"/>
      <c r="C175" s="36"/>
      <c r="D175" s="36"/>
      <c r="E175" s="36"/>
    </row>
    <row r="176" spans="1:5">
      <c r="A176" s="2"/>
      <c r="B176" s="36"/>
      <c r="C176" s="36"/>
      <c r="D176" s="36"/>
      <c r="E176" s="36"/>
    </row>
    <row r="177" spans="1:5">
      <c r="A177" s="2"/>
      <c r="B177" s="36"/>
      <c r="C177" s="36"/>
      <c r="D177" s="36"/>
      <c r="E177" s="36"/>
    </row>
    <row r="178" spans="1:5">
      <c r="A178" s="2"/>
      <c r="B178" s="36"/>
      <c r="C178" s="36"/>
      <c r="D178" s="36"/>
      <c r="E178" s="36"/>
    </row>
    <row r="179" spans="1:5">
      <c r="A179" s="2"/>
      <c r="B179" s="36"/>
      <c r="C179" s="36"/>
      <c r="D179" s="36"/>
      <c r="E179" s="36"/>
    </row>
    <row r="180" spans="1:5">
      <c r="A180" s="2"/>
      <c r="B180" s="36"/>
      <c r="C180" s="36"/>
      <c r="D180" s="36"/>
      <c r="E180" s="36"/>
    </row>
    <row r="181" spans="1:5">
      <c r="A181" s="2"/>
      <c r="B181" s="36"/>
      <c r="C181" s="36"/>
      <c r="D181" s="36"/>
      <c r="E181" s="36"/>
    </row>
    <row r="182" spans="1:5">
      <c r="A182" s="2"/>
      <c r="B182" s="36"/>
      <c r="C182" s="36"/>
      <c r="D182" s="36"/>
      <c r="E182" s="36"/>
    </row>
    <row r="183" spans="1:5">
      <c r="A183" s="2"/>
      <c r="B183" s="36"/>
      <c r="C183" s="36"/>
      <c r="D183" s="36"/>
      <c r="E183" s="36"/>
    </row>
    <row r="184" spans="1:5">
      <c r="A184" s="2"/>
      <c r="B184" s="36"/>
      <c r="C184" s="36"/>
      <c r="D184" s="36"/>
      <c r="E184" s="36"/>
    </row>
    <row r="185" spans="1:5">
      <c r="A185" s="2"/>
      <c r="B185" s="36"/>
      <c r="C185" s="36"/>
      <c r="D185" s="36"/>
      <c r="E185" s="36"/>
    </row>
    <row r="186" spans="1:5">
      <c r="A186" s="2"/>
      <c r="B186" s="36"/>
      <c r="C186" s="36"/>
      <c r="D186" s="36"/>
      <c r="E186" s="36"/>
    </row>
    <row r="187" spans="1:5">
      <c r="A187" s="2"/>
      <c r="B187" s="36"/>
      <c r="C187" s="36"/>
      <c r="D187" s="36"/>
      <c r="E187" s="36"/>
    </row>
    <row r="188" spans="1:5">
      <c r="A188" s="2"/>
      <c r="B188" s="36"/>
      <c r="C188" s="36"/>
      <c r="D188" s="36"/>
      <c r="E188" s="36"/>
    </row>
    <row r="189" spans="1:5">
      <c r="A189" s="2"/>
      <c r="B189" s="36"/>
      <c r="C189" s="36"/>
      <c r="D189" s="36"/>
      <c r="E189" s="36"/>
    </row>
    <row r="190" spans="1:5">
      <c r="A190" s="2"/>
      <c r="B190" s="36"/>
      <c r="C190" s="36"/>
      <c r="D190" s="36"/>
      <c r="E190" s="36"/>
    </row>
    <row r="191" spans="1:5">
      <c r="A191" s="2"/>
      <c r="B191" s="36"/>
      <c r="C191" s="36"/>
      <c r="D191" s="36"/>
      <c r="E191" s="36"/>
    </row>
    <row r="192" spans="1:5">
      <c r="A192" s="2"/>
      <c r="B192" s="36"/>
      <c r="C192" s="36"/>
      <c r="D192" s="36"/>
      <c r="E192" s="36"/>
    </row>
    <row r="193" spans="1:5">
      <c r="A193" s="2"/>
      <c r="B193" s="36"/>
      <c r="C193" s="36"/>
      <c r="D193" s="36"/>
      <c r="E193" s="36"/>
    </row>
    <row r="194" spans="1:5">
      <c r="A194" s="2"/>
      <c r="B194" s="36"/>
      <c r="C194" s="36"/>
      <c r="D194" s="36"/>
      <c r="E194" s="36"/>
    </row>
    <row r="195" spans="1:5">
      <c r="A195" s="2"/>
      <c r="B195" s="36"/>
      <c r="C195" s="36"/>
      <c r="D195" s="36"/>
      <c r="E195" s="36"/>
    </row>
    <row r="196" spans="1:5">
      <c r="A196" s="2"/>
      <c r="B196" s="36"/>
      <c r="C196" s="36"/>
      <c r="D196" s="36"/>
      <c r="E196" s="36"/>
    </row>
    <row r="197" spans="1:5">
      <c r="A197" s="2"/>
      <c r="B197" s="36"/>
      <c r="C197" s="36"/>
      <c r="D197" s="36"/>
      <c r="E197" s="36"/>
    </row>
    <row r="198" spans="1:5">
      <c r="A198" s="2"/>
      <c r="B198" s="36"/>
      <c r="C198" s="36"/>
      <c r="D198" s="36"/>
      <c r="E198" s="36"/>
    </row>
    <row r="199" spans="1:5">
      <c r="A199" s="2"/>
      <c r="B199" s="36"/>
      <c r="C199" s="36"/>
      <c r="D199" s="36"/>
      <c r="E199" s="36"/>
    </row>
    <row r="200" spans="1:5">
      <c r="A200" s="2"/>
      <c r="B200" s="36"/>
      <c r="C200" s="36"/>
      <c r="D200" s="36"/>
      <c r="E200" s="36"/>
    </row>
    <row r="201" spans="1:5">
      <c r="A201" s="2"/>
      <c r="B201" s="36"/>
      <c r="C201" s="36"/>
      <c r="D201" s="36"/>
      <c r="E201" s="36"/>
    </row>
    <row r="202" spans="1:5">
      <c r="A202" s="2"/>
      <c r="B202" s="36"/>
      <c r="C202" s="36"/>
      <c r="D202" s="36"/>
      <c r="E202" s="36"/>
    </row>
    <row r="203" spans="1:5">
      <c r="A203" s="2"/>
      <c r="B203" s="36"/>
      <c r="C203" s="36"/>
      <c r="D203" s="36"/>
      <c r="E203" s="36"/>
    </row>
    <row r="204" spans="1:5">
      <c r="A204" s="2"/>
      <c r="B204" s="36"/>
      <c r="C204" s="36"/>
      <c r="D204" s="36"/>
      <c r="E204" s="36"/>
    </row>
    <row r="205" spans="1:5">
      <c r="A205" s="2"/>
      <c r="B205" s="36"/>
      <c r="C205" s="36"/>
      <c r="D205" s="36"/>
      <c r="E205" s="36"/>
    </row>
    <row r="206" spans="1:5">
      <c r="A206" s="2"/>
      <c r="B206" s="36"/>
      <c r="C206" s="36"/>
      <c r="D206" s="36"/>
      <c r="E206" s="36"/>
    </row>
    <row r="207" spans="1:5">
      <c r="A207" s="2"/>
      <c r="B207" s="36"/>
      <c r="C207" s="36"/>
      <c r="D207" s="36"/>
      <c r="E207" s="36"/>
    </row>
    <row r="208" spans="1:5">
      <c r="A208" s="2"/>
      <c r="B208" s="36"/>
      <c r="C208" s="36"/>
      <c r="D208" s="36"/>
      <c r="E208" s="36"/>
    </row>
    <row r="209" spans="1:5">
      <c r="A209" s="2"/>
      <c r="B209" s="36"/>
      <c r="C209" s="36"/>
      <c r="D209" s="36"/>
      <c r="E209" s="36"/>
    </row>
    <row r="210" spans="1:5">
      <c r="A210" s="2"/>
      <c r="B210" s="36"/>
      <c r="C210" s="36"/>
      <c r="D210" s="36"/>
      <c r="E210" s="36"/>
    </row>
    <row r="211" spans="1:5">
      <c r="A211" s="2"/>
      <c r="B211" s="36"/>
      <c r="C211" s="36"/>
      <c r="D211" s="36"/>
      <c r="E211" s="36"/>
    </row>
    <row r="212" spans="1:5">
      <c r="A212" s="2"/>
      <c r="B212" s="36"/>
      <c r="C212" s="36"/>
      <c r="D212" s="36"/>
      <c r="E212" s="36"/>
    </row>
    <row r="213" spans="1:5">
      <c r="A213" s="2"/>
      <c r="B213" s="36"/>
      <c r="C213" s="36"/>
      <c r="D213" s="36"/>
      <c r="E213" s="36"/>
    </row>
    <row r="214" spans="1:5">
      <c r="A214" s="2"/>
      <c r="B214" s="36"/>
      <c r="C214" s="36"/>
      <c r="D214" s="36"/>
      <c r="E214" s="36"/>
    </row>
    <row r="215" spans="1:5">
      <c r="A215" s="2"/>
      <c r="B215" s="36"/>
      <c r="C215" s="36"/>
      <c r="D215" s="36"/>
      <c r="E215" s="36"/>
    </row>
    <row r="216" spans="1:5">
      <c r="A216" s="2"/>
      <c r="B216" s="36"/>
      <c r="C216" s="36"/>
      <c r="D216" s="36"/>
      <c r="E216" s="36"/>
    </row>
    <row r="217" spans="1:5">
      <c r="A217" s="2"/>
      <c r="B217" s="36"/>
      <c r="C217" s="36"/>
      <c r="D217" s="36"/>
      <c r="E217" s="36"/>
    </row>
    <row r="218" spans="1:5">
      <c r="A218" s="2"/>
      <c r="B218" s="36"/>
      <c r="C218" s="36"/>
      <c r="D218" s="36"/>
      <c r="E218" s="36"/>
    </row>
    <row r="219" spans="1:5">
      <c r="A219" s="2"/>
      <c r="B219" s="36"/>
      <c r="C219" s="36"/>
      <c r="D219" s="36"/>
      <c r="E219" s="36"/>
    </row>
    <row r="220" spans="1:5">
      <c r="A220" s="2"/>
      <c r="B220" s="36"/>
      <c r="C220" s="36"/>
      <c r="D220" s="36"/>
      <c r="E220" s="36"/>
    </row>
    <row r="221" spans="1:5">
      <c r="A221" s="2"/>
      <c r="B221" s="36"/>
      <c r="C221" s="36"/>
      <c r="D221" s="36"/>
      <c r="E221" s="36"/>
    </row>
    <row r="222" spans="1:5">
      <c r="A222" s="2"/>
      <c r="B222" s="36"/>
      <c r="C222" s="36"/>
      <c r="D222" s="36"/>
      <c r="E222" s="36"/>
    </row>
    <row r="223" spans="1:5">
      <c r="A223" s="2"/>
      <c r="B223" s="36"/>
      <c r="C223" s="36"/>
      <c r="D223" s="36"/>
      <c r="E223" s="36"/>
    </row>
    <row r="224" spans="1:5">
      <c r="A224" s="2"/>
      <c r="B224" s="36"/>
      <c r="C224" s="36"/>
      <c r="D224" s="36"/>
      <c r="E224" s="36"/>
    </row>
    <row r="225" spans="1:5">
      <c r="A225" s="2"/>
      <c r="B225" s="36"/>
      <c r="C225" s="36"/>
      <c r="D225" s="36"/>
      <c r="E225" s="36"/>
    </row>
    <row r="226" spans="1:5">
      <c r="A226" s="2"/>
      <c r="B226" s="36"/>
      <c r="C226" s="36"/>
      <c r="D226" s="36"/>
      <c r="E226" s="36"/>
    </row>
    <row r="227" spans="1:5">
      <c r="A227" s="2"/>
      <c r="B227" s="36"/>
      <c r="C227" s="36"/>
      <c r="D227" s="36"/>
      <c r="E227" s="36"/>
    </row>
    <row r="228" spans="1:5">
      <c r="A228" s="2"/>
      <c r="B228" s="36"/>
      <c r="C228" s="36"/>
      <c r="D228" s="36"/>
      <c r="E228" s="36"/>
    </row>
    <row r="229" spans="1:5">
      <c r="A229" s="2"/>
      <c r="B229" s="36"/>
      <c r="C229" s="36"/>
      <c r="D229" s="36"/>
      <c r="E229" s="36"/>
    </row>
    <row r="230" spans="1:5">
      <c r="A230" s="2"/>
      <c r="B230" s="36"/>
      <c r="C230" s="36"/>
      <c r="D230" s="36"/>
      <c r="E230" s="36"/>
    </row>
    <row r="231" spans="1:5">
      <c r="A231" s="2"/>
      <c r="B231" s="36"/>
      <c r="C231" s="36"/>
      <c r="D231" s="36"/>
      <c r="E231" s="36"/>
    </row>
    <row r="232" spans="1:5">
      <c r="A232" s="2"/>
      <c r="B232" s="36"/>
      <c r="C232" s="36"/>
      <c r="D232" s="36"/>
      <c r="E232" s="36"/>
    </row>
    <row r="233" spans="1:5">
      <c r="A233" s="2"/>
      <c r="B233" s="36"/>
      <c r="C233" s="36"/>
      <c r="D233" s="36"/>
      <c r="E233" s="36"/>
    </row>
    <row r="234" spans="1:5">
      <c r="A234" s="2"/>
      <c r="B234" s="36"/>
      <c r="C234" s="36"/>
      <c r="D234" s="36"/>
      <c r="E234" s="36"/>
    </row>
    <row r="235" spans="1:5">
      <c r="A235" s="2"/>
      <c r="B235" s="36"/>
      <c r="C235" s="36"/>
      <c r="D235" s="36"/>
      <c r="E235" s="36"/>
    </row>
    <row r="236" spans="1:5">
      <c r="A236" s="2"/>
      <c r="B236" s="36"/>
      <c r="C236" s="36"/>
      <c r="D236" s="36"/>
      <c r="E236" s="36"/>
    </row>
    <row r="237" spans="1:5">
      <c r="A237" s="2"/>
      <c r="B237" s="36"/>
      <c r="C237" s="36"/>
      <c r="D237" s="36"/>
      <c r="E237" s="36"/>
    </row>
    <row r="238" spans="1:5">
      <c r="A238" s="2"/>
      <c r="B238" s="36"/>
      <c r="C238" s="36"/>
      <c r="D238" s="36"/>
      <c r="E238" s="36"/>
    </row>
    <row r="239" spans="1:5">
      <c r="A239" s="2"/>
      <c r="B239" s="36"/>
      <c r="C239" s="36"/>
      <c r="D239" s="36"/>
      <c r="E239" s="36"/>
    </row>
    <row r="240" spans="1:5">
      <c r="A240" s="2"/>
      <c r="B240" s="36"/>
      <c r="C240" s="36"/>
      <c r="D240" s="36"/>
      <c r="E240" s="36"/>
    </row>
    <row r="241" spans="1:5">
      <c r="A241" s="2"/>
      <c r="B241" s="36"/>
      <c r="C241" s="36"/>
      <c r="D241" s="36"/>
      <c r="E241" s="36"/>
    </row>
    <row r="242" spans="1:5">
      <c r="A242" s="2"/>
      <c r="B242" s="36"/>
      <c r="C242" s="36"/>
      <c r="D242" s="36"/>
      <c r="E242" s="36"/>
    </row>
    <row r="243" spans="1:5">
      <c r="A243" s="2"/>
      <c r="B243" s="36"/>
      <c r="C243" s="36"/>
      <c r="D243" s="36"/>
      <c r="E243" s="36"/>
    </row>
    <row r="244" spans="1:5">
      <c r="A244" s="2"/>
      <c r="B244" s="36"/>
      <c r="C244" s="36"/>
      <c r="D244" s="36"/>
      <c r="E244" s="36"/>
    </row>
    <row r="245" spans="1:5">
      <c r="A245" s="2"/>
      <c r="B245" s="36"/>
      <c r="C245" s="36"/>
      <c r="D245" s="36"/>
      <c r="E245" s="36"/>
    </row>
    <row r="246" spans="1:5">
      <c r="A246" s="2"/>
      <c r="B246" s="36"/>
      <c r="C246" s="36"/>
      <c r="D246" s="36"/>
      <c r="E246" s="36"/>
    </row>
    <row r="247" spans="1:5">
      <c r="A247" s="2"/>
      <c r="B247" s="36"/>
      <c r="C247" s="36"/>
      <c r="D247" s="36"/>
      <c r="E247" s="36"/>
    </row>
    <row r="248" spans="1:5">
      <c r="A248" s="2"/>
      <c r="B248" s="36"/>
      <c r="C248" s="36"/>
      <c r="D248" s="36"/>
      <c r="E248" s="36"/>
    </row>
  </sheetData>
  <autoFilter ref="A3:F54" xr:uid="{07999A56-1BCF-4912-AF2E-0B4742817513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1월_세금계산서</vt:lpstr>
      <vt:lpstr>작품별 집계</vt:lpstr>
      <vt:lpstr>컨텐츠별 매출 통계</vt:lpstr>
      <vt:lpstr>로그인정보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2026-02-02T06:31:33Z</dcterms:modified>
</cp:coreProperties>
</file>